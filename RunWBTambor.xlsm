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activeTab="3"/>
  </bookViews>
  <sheets>
    <sheet name="Template" sheetId="1" r:id="rId1"/>
    <sheet name="List Templates" sheetId="2" r:id="rId2"/>
    <sheet name="Results" sheetId="3" r:id="rId3"/>
    <sheet name="Fatigue" sheetId="4" r:id="rId4"/>
    <sheet name="AxleFatigue" sheetId="8" r:id="rId5"/>
    <sheet name="FatigueInfo" sheetId="5" r:id="rId6"/>
    <sheet name="RingFederInfo" sheetId="6" r:id="rId7"/>
  </sheets>
  <functionGroups builtInGroupCount="18"/>
  <externalReferences>
    <externalReference r:id="rId8"/>
    <externalReference r:id="rId9"/>
  </externalReferences>
  <definedNames>
    <definedName name="Parametros">#REF!</definedName>
    <definedName name="Variáveis">Table3[]</definedName>
  </definedNames>
  <calcPr calcId="162913"/>
</workbook>
</file>

<file path=xl/calcChain.xml><?xml version="1.0" encoding="utf-8"?>
<calcChain xmlns="http://schemas.openxmlformats.org/spreadsheetml/2006/main">
  <c r="A32" i="6" l="1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3" i="8" l="1"/>
  <c r="C3" i="8" s="1"/>
  <c r="A4" i="8"/>
  <c r="C4" i="8" s="1"/>
  <c r="A5" i="8"/>
  <c r="O5" i="8" s="1"/>
  <c r="A6" i="8"/>
  <c r="O6" i="8" s="1"/>
  <c r="N6" i="8" l="1"/>
  <c r="N5" i="8"/>
  <c r="D5" i="8"/>
  <c r="D6" i="8"/>
  <c r="C6" i="8"/>
  <c r="C5" i="8"/>
  <c r="D4" i="8"/>
  <c r="O4" i="8"/>
  <c r="N4" i="8"/>
  <c r="N3" i="8"/>
  <c r="D3" i="8"/>
  <c r="O3" i="8"/>
  <c r="A2" i="8" l="1"/>
  <c r="N2" i="8" l="1"/>
  <c r="D2" i="8"/>
  <c r="C2" i="8"/>
  <c r="O2" i="8"/>
  <c r="A2" i="4" l="1"/>
  <c r="B3" i="8" l="1"/>
  <c r="B4" i="8"/>
  <c r="Q2" i="4"/>
  <c r="B5" i="8"/>
  <c r="B6" i="8"/>
  <c r="B2" i="8"/>
  <c r="O2" i="4"/>
  <c r="P2" i="4"/>
  <c r="C2" i="4"/>
  <c r="D2" i="4" s="1"/>
  <c r="F2" i="4"/>
  <c r="G2" i="4" s="1"/>
  <c r="I2" i="4"/>
  <c r="J2" i="4" s="1"/>
  <c r="L2" i="8" l="1"/>
  <c r="K2" i="8"/>
  <c r="J2" i="8"/>
  <c r="I2" i="8"/>
  <c r="M2" i="8" s="1"/>
  <c r="H2" i="8"/>
  <c r="I6" i="8"/>
  <c r="M6" i="8" s="1"/>
  <c r="K6" i="8"/>
  <c r="H6" i="8"/>
  <c r="L6" i="8"/>
  <c r="J6" i="8"/>
  <c r="L5" i="8"/>
  <c r="J5" i="8"/>
  <c r="I5" i="8"/>
  <c r="M5" i="8" s="1"/>
  <c r="K5" i="8"/>
  <c r="H5" i="8"/>
  <c r="J4" i="8"/>
  <c r="L4" i="8"/>
  <c r="H4" i="8"/>
  <c r="I4" i="8"/>
  <c r="M4" i="8" s="1"/>
  <c r="K4" i="8"/>
  <c r="H3" i="8"/>
  <c r="J3" i="8"/>
  <c r="L3" i="8"/>
  <c r="I3" i="8"/>
  <c r="M3" i="8" s="1"/>
  <c r="K3" i="8"/>
  <c r="P3" i="8" l="1"/>
  <c r="Q3" i="8"/>
  <c r="P6" i="8"/>
  <c r="Q6" i="8"/>
  <c r="P2" i="8"/>
  <c r="M2" i="4" s="1"/>
  <c r="Q2" i="8"/>
  <c r="L2" i="4"/>
  <c r="P4" i="8"/>
  <c r="Q4" i="8"/>
  <c r="P5" i="8"/>
  <c r="Q5" i="8"/>
</calcChain>
</file>

<file path=xl/sharedStrings.xml><?xml version="1.0" encoding="utf-8"?>
<sst xmlns="http://schemas.openxmlformats.org/spreadsheetml/2006/main" count="279" uniqueCount="193">
  <si>
    <t>No Desenho</t>
  </si>
  <si>
    <t>Tipo de Tambor</t>
  </si>
  <si>
    <t>Desv./Ret./Est.</t>
  </si>
  <si>
    <t>Acion. P.E. Simples</t>
  </si>
  <si>
    <t>Acion. P.E. Dupla</t>
  </si>
  <si>
    <t>Template Inp</t>
  </si>
  <si>
    <t>Python Out</t>
  </si>
  <si>
    <t>TPR</t>
  </si>
  <si>
    <t>N. Variaveis</t>
  </si>
  <si>
    <t>Desenho</t>
  </si>
  <si>
    <t>MY_FX</t>
  </si>
  <si>
    <t>MY_FY</t>
  </si>
  <si>
    <t>MY_FZ</t>
  </si>
  <si>
    <t>MY_MX</t>
  </si>
  <si>
    <t>MY_MY</t>
  </si>
  <si>
    <t>MY_MZ</t>
  </si>
  <si>
    <t>S1_DISCO_MAX</t>
  </si>
  <si>
    <t>S3_DISCO_MAX</t>
  </si>
  <si>
    <t>S1_CARC_MAX</t>
  </si>
  <si>
    <t>S3_CARC_MAX</t>
  </si>
  <si>
    <t>S1_EIXO_MAX</t>
  </si>
  <si>
    <t>S3_EIXO_MAX</t>
  </si>
  <si>
    <t>Desenhos</t>
  </si>
  <si>
    <t>Class</t>
  </si>
  <si>
    <t>Limit</t>
  </si>
  <si>
    <t>Ringfeder</t>
  </si>
  <si>
    <t>FS T</t>
  </si>
  <si>
    <t>FS Mom.</t>
  </si>
  <si>
    <t>Ampl. Disco-Disco</t>
  </si>
  <si>
    <t>Ampl. Disco-Carc</t>
  </si>
  <si>
    <t>Ampl. Carc-Carc</t>
  </si>
  <si>
    <t>Max M</t>
  </si>
  <si>
    <t>Max T</t>
  </si>
  <si>
    <t>FC Disc-Disc</t>
  </si>
  <si>
    <t>FC Disc-Carc</t>
  </si>
  <si>
    <t>FC Carc-Carc</t>
  </si>
  <si>
    <t>FS Disc-Disc</t>
  </si>
  <si>
    <t>FS Disc-Carc</t>
  </si>
  <si>
    <t>FS Carc-Carc</t>
  </si>
  <si>
    <t>C1</t>
  </si>
  <si>
    <t>E</t>
  </si>
  <si>
    <t>F</t>
  </si>
  <si>
    <t>B1</t>
  </si>
  <si>
    <t>7015.1 100x145</t>
  </si>
  <si>
    <t>Carga Máxima</t>
  </si>
  <si>
    <t>MY_ROTZ</t>
  </si>
  <si>
    <t>FS Defl Eixo</t>
  </si>
  <si>
    <t>FS Eixo</t>
  </si>
  <si>
    <t>Material</t>
  </si>
  <si>
    <t>Ccar Solic.</t>
  </si>
  <si>
    <t>Ctam</t>
  </si>
  <si>
    <t>Csup</t>
  </si>
  <si>
    <t>Cconf</t>
  </si>
  <si>
    <t>Ctmp</t>
  </si>
  <si>
    <t>SAE 4340</t>
  </si>
  <si>
    <t>SAE 4140 N</t>
  </si>
  <si>
    <t>SAE 1045</t>
  </si>
  <si>
    <t>Tesc</t>
  </si>
  <si>
    <t>Trup</t>
  </si>
  <si>
    <t>Sf*</t>
  </si>
  <si>
    <t>Sy</t>
  </si>
  <si>
    <t>Se</t>
  </si>
  <si>
    <t>Sm</t>
  </si>
  <si>
    <t>Samp</t>
  </si>
  <si>
    <t>ηg</t>
  </si>
  <si>
    <t>ηs</t>
  </si>
  <si>
    <t>Inteiro</t>
  </si>
  <si>
    <t>ModInp</t>
  </si>
  <si>
    <t>Força Aplic.</t>
  </si>
  <si>
    <t>DA</t>
  </si>
  <si>
    <t>ED</t>
  </si>
  <si>
    <t>Dcext</t>
  </si>
  <si>
    <t>DM</t>
  </si>
  <si>
    <t>DT</t>
  </si>
  <si>
    <t>A</t>
  </si>
  <si>
    <t>B</t>
  </si>
  <si>
    <t>Ecubo</t>
  </si>
  <si>
    <t>Ecarc</t>
  </si>
  <si>
    <t>DPE</t>
  </si>
  <si>
    <t>Momento</t>
  </si>
  <si>
    <t>DistPE</t>
  </si>
  <si>
    <t>Legenda:</t>
  </si>
  <si>
    <t>Distância entre Mancais</t>
  </si>
  <si>
    <t>Distância entre Mancal e Centro do Cubo</t>
  </si>
  <si>
    <t>Diâmetro do Tambor</t>
  </si>
  <si>
    <t>Diâmetro do Eixo no Mancal</t>
  </si>
  <si>
    <t>Diâmetro do Cubo</t>
  </si>
  <si>
    <t>Espessura do Cubo</t>
  </si>
  <si>
    <t>Espessura do Disco</t>
  </si>
  <si>
    <t>Espessura da Carcaça</t>
  </si>
  <si>
    <t>Diâmetro do Eixo no Anel</t>
  </si>
  <si>
    <t>Força que a Correia Aplica na Carcaça</t>
  </si>
  <si>
    <t>Momento Torsor aplicado no Eixo de Acionamento</t>
  </si>
  <si>
    <t>Diâmetro do Eixo na Ponta de Eixo de Acionamento</t>
  </si>
  <si>
    <t>Distância entre a Ponta de Eixo e o Mancal</t>
  </si>
  <si>
    <t>Editável</t>
  </si>
  <si>
    <t>Não Editável</t>
  </si>
  <si>
    <t>Mat. Eixo</t>
  </si>
  <si>
    <t>Tipo de Tambor:</t>
  </si>
  <si>
    <t>Tipo de Tambor a ser Calculado</t>
  </si>
  <si>
    <t>Template específico ao Tipo de Tambor escolhido</t>
  </si>
  <si>
    <t>Arquivo Python para leitura Output</t>
  </si>
  <si>
    <t>No Variaveis a serem modificadas no template input</t>
  </si>
  <si>
    <t>Número da varíavel a ser alterada para dimensionamento da carga máxima</t>
  </si>
  <si>
    <t>Força em X que o ringfeder transmite para o eixo</t>
  </si>
  <si>
    <t>Força em Y que o ringfeder transmite para o eixo</t>
  </si>
  <si>
    <t>Força em Z que o ringfeder transmite para o eixo</t>
  </si>
  <si>
    <t>Momento Torçor que o ringfeder transmite para o eixo</t>
  </si>
  <si>
    <t>Momento Fletor em Y que o ringfeder transmite para o eixo</t>
  </si>
  <si>
    <t>Momento Fletor em Z que o ringfeder transmite para o eixo</t>
  </si>
  <si>
    <t>Tensão Principal Máxima no Disco</t>
  </si>
  <si>
    <t>Tensão Principal Mínima no Disco</t>
  </si>
  <si>
    <t>Rotação do Eixo no centro Anel em Minutos</t>
  </si>
  <si>
    <t>Tensão Principal Mínima na Carcaça</t>
  </si>
  <si>
    <t>Tensão Principal Máxima na Carcaça</t>
  </si>
  <si>
    <t>Tensão Principal Máxima no Eixo</t>
  </si>
  <si>
    <t>Tensão Principal Mínima no Eixo</t>
  </si>
  <si>
    <t>Classe de Fadiga para a Solda entre Cubo e Disco</t>
  </si>
  <si>
    <t>Fator de Segurança para a Solda entre Cubo e Disco</t>
  </si>
  <si>
    <t>Classe de Fadiga para a Solda entre Carcaça e Disco</t>
  </si>
  <si>
    <t>Fator de Segurança para a Solda entre Carcaça e Disco</t>
  </si>
  <si>
    <t>Amplitude de oscilação da tensão principal na Solda entre Cubo e Disco</t>
  </si>
  <si>
    <t>Amplitude de oscilação da tensão principal na Solda entre Carcaça e Disco</t>
  </si>
  <si>
    <t>Resist. Eixo</t>
  </si>
  <si>
    <t>Material do Eixo</t>
  </si>
  <si>
    <t>Resistência limite a fadiga calculada</t>
  </si>
  <si>
    <t>Fator de segurança segundo o critério Goodman</t>
  </si>
  <si>
    <t>Bitola de Ringfeder utilizada</t>
  </si>
  <si>
    <t>Fator de segurança para o momento torsor do Ringfeder</t>
  </si>
  <si>
    <t>Fator de segurança para o momento fletor do Ringfeder</t>
  </si>
  <si>
    <t>Fator de Segurança para a Deflexão do Eixo</t>
  </si>
  <si>
    <t>Carga Máxima Calculada segundo o método Newton-Raphson</t>
  </si>
  <si>
    <t>FS Limite</t>
  </si>
  <si>
    <t>Deflexão Máxima</t>
  </si>
  <si>
    <t>Deflexão Máxima (minutos)</t>
  </si>
  <si>
    <t>Fator de Segurança Mínimo utilizado no método Newton-Raphson</t>
  </si>
  <si>
    <t>Utilizada para determinar o fator de segurança</t>
  </si>
  <si>
    <t>Legenda</t>
  </si>
  <si>
    <t>Ccar Solici.</t>
  </si>
  <si>
    <t>Efeito de Modificação devido a solicitação</t>
  </si>
  <si>
    <t>Efeito de Modificação devido ao tamanho</t>
  </si>
  <si>
    <t>Efeito de Modificação devido ao tratamento superficial</t>
  </si>
  <si>
    <t>Fixo</t>
  </si>
  <si>
    <t>Ftmp</t>
  </si>
  <si>
    <t>Tensão de Escoamento do material (incluir na tabela acima para novos)</t>
  </si>
  <si>
    <t>Tensão de Ruptura do Material Escolhido (incluir na tabela acima para novos)</t>
  </si>
  <si>
    <t>Módulo de elasticidade</t>
  </si>
  <si>
    <t>Tensão limite de fadiga não modificada</t>
  </si>
  <si>
    <t>Tensão limite de fadiga modificada</t>
  </si>
  <si>
    <t>Tensão média de oscilação do eixo</t>
  </si>
  <si>
    <t>Amplitude de oscilação da tensão no eixo</t>
  </si>
  <si>
    <t>ng</t>
  </si>
  <si>
    <t>Fator de segurança segundo Goodman</t>
  </si>
  <si>
    <t>ns</t>
  </si>
  <si>
    <t>Fator de segurança segundo sodenberg</t>
  </si>
  <si>
    <t>Classe de Fadiga da Solda</t>
  </si>
  <si>
    <t>Limite de tensão para viida infinita</t>
  </si>
  <si>
    <t>Type:</t>
  </si>
  <si>
    <t>Bitola</t>
  </si>
  <si>
    <t>Máximo Momento Fletor</t>
  </si>
  <si>
    <t>Máximo Momento Torsor</t>
  </si>
  <si>
    <t>Modo de Uso:</t>
  </si>
  <si>
    <t>1) Executar todos os passos de instalação conforme readme.txt</t>
  </si>
  <si>
    <t>2) Preencher tabela template com todos dados geométricos dos tambores</t>
  </si>
  <si>
    <t>3) Clicar calculate para calcular conforme as cargas selecionadas</t>
  </si>
  <si>
    <t>4) Verificar resultados conforme as soldas e material de eixo na aba Fatigue</t>
  </si>
  <si>
    <t>5) Caso necessário, ajuste todas linhas de antemão, e clica em dimensionar força máxima para calcular a força máxima que aquele tambor aguenta</t>
  </si>
  <si>
    <t>Tensão de escoamento</t>
  </si>
  <si>
    <t>LT</t>
  </si>
  <si>
    <t>ANEL</t>
  </si>
  <si>
    <t>Tamanho</t>
  </si>
  <si>
    <t>Material Cubo</t>
  </si>
  <si>
    <t>ECAR</t>
  </si>
  <si>
    <t>EDL</t>
  </si>
  <si>
    <t>Deixo</t>
  </si>
  <si>
    <t>Angl. Trans.</t>
  </si>
  <si>
    <t>Carga</t>
  </si>
  <si>
    <t>7012</t>
  </si>
  <si>
    <t>d</t>
  </si>
  <si>
    <t>D2</t>
  </si>
  <si>
    <t>Angl Trans</t>
  </si>
  <si>
    <t>Inventor Template</t>
  </si>
  <si>
    <t>AUT_TAMB.py</t>
  </si>
  <si>
    <t>pyscrpt.py</t>
  </si>
  <si>
    <t>SpaceClaim Template</t>
  </si>
  <si>
    <t>Mechanical Template</t>
  </si>
  <si>
    <t>Workbench Template</t>
  </si>
  <si>
    <t>mechaut.py</t>
  </si>
  <si>
    <t>jorn1.wbjn</t>
  </si>
  <si>
    <t>110x155</t>
  </si>
  <si>
    <t>240x305</t>
  </si>
  <si>
    <t>220x285</t>
  </si>
  <si>
    <t>TESTTPR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</si>
</sst>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[$€]* #,##0.00_);_([$€]* \(#,##0.00\);_([$€]* &quot;-&quot;??_);_(@_)"/>
    <numFmt numFmtId="167" formatCode="0.0"/>
    <numFmt numFmtId="168" formatCode="####.#\ \ &quot;[N]&quot;"/>
    <numFmt numFmtId="169" formatCode="####.#\ \ &quot;[mm]&quot;"/>
    <numFmt numFmtId="170" formatCode="0.0\ &quot;MPa&quot;"/>
    <numFmt numFmtId="171" formatCode="0.000"/>
  </numFmts>
  <fonts count="16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20"/>
      <name val="Calibri"/>
      <family val="2"/>
    </font>
    <font>
      <sz val="10"/>
      <name val="Times New Roman"/>
      <family val="1"/>
    </font>
    <font>
      <sz val="10"/>
      <name val="MS Sans Serif"/>
      <family val="2"/>
    </font>
    <font>
      <sz val="1"/>
      <color indexed="18"/>
      <name val="Courier"/>
      <family val="3"/>
    </font>
    <font>
      <sz val="10"/>
      <color indexed="8"/>
      <name val="MS Sans Serif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0"/>
      <name val="Arial"/>
      <family val="2"/>
    </font>
    <font>
      <u/>
      <sz val="11"/>
      <color theme="1"/>
      <name val="Calibri"/>
      <family val="2"/>
      <scheme val="minor"/>
    </font>
    <font>
      <sz val="1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 style="thin">
        <color rgb="FF00B0F0"/>
      </left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 style="thin">
        <color rgb="FF00B0F0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1">
    <xf numFmtId="0" fontId="0" fillId="0" borderId="0"/>
    <xf numFmtId="0" fontId="2" fillId="0" borderId="0"/>
    <xf numFmtId="166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" fillId="2" borderId="0" applyNumberFormat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3" fillId="3" borderId="1" applyNumberFormat="0" applyFont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>
      <protection locked="0"/>
    </xf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10" fillId="0" borderId="0"/>
  </cellStyleXfs>
  <cellXfs count="42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7" fillId="4" borderId="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167" fontId="0" fillId="7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167" fontId="0" fillId="6" borderId="0" xfId="0" applyNumberFormat="1" applyFill="1" applyAlignment="1">
      <alignment horizontal="center"/>
    </xf>
    <xf numFmtId="171" fontId="0" fillId="7" borderId="0" xfId="0" applyNumberFormat="1" applyFill="1" applyAlignment="1">
      <alignment horizontal="center"/>
    </xf>
    <xf numFmtId="11" fontId="0" fillId="6" borderId="0" xfId="0" applyNumberFormat="1" applyFill="1"/>
    <xf numFmtId="167" fontId="0" fillId="0" borderId="0" xfId="0" applyNumberFormat="1" applyAlignment="1">
      <alignment horizontal="left"/>
    </xf>
    <xf numFmtId="171" fontId="0" fillId="0" borderId="0" xfId="0" applyNumberFormat="1" applyAlignment="1">
      <alignment horizontal="left"/>
    </xf>
    <xf numFmtId="0" fontId="7" fillId="4" borderId="5" xfId="0" applyFont="1" applyFill="1" applyBorder="1" applyAlignment="1">
      <alignment horizontal="center" wrapText="1"/>
    </xf>
    <xf numFmtId="170" fontId="7" fillId="4" borderId="6" xfId="0" applyNumberFormat="1" applyFont="1" applyFill="1" applyBorder="1" applyAlignment="1">
      <alignment horizontal="center" wrapText="1"/>
    </xf>
    <xf numFmtId="170" fontId="7" fillId="4" borderId="7" xfId="0" applyNumberFormat="1" applyFont="1" applyFill="1" applyBorder="1" applyAlignment="1">
      <alignment horizontal="center" wrapText="1"/>
    </xf>
    <xf numFmtId="0" fontId="7" fillId="6" borderId="3" xfId="0" applyFont="1" applyFill="1" applyBorder="1" applyAlignment="1">
      <alignment horizontal="center" wrapText="1"/>
    </xf>
    <xf numFmtId="170" fontId="7" fillId="6" borderId="2" xfId="0" applyNumberFormat="1" applyFont="1" applyFill="1" applyBorder="1" applyAlignment="1">
      <alignment horizontal="center" wrapText="1"/>
    </xf>
    <xf numFmtId="170" fontId="7" fillId="6" borderId="4" xfId="0" applyNumberFormat="1" applyFont="1" applyFill="1" applyBorder="1" applyAlignment="1">
      <alignment horizontal="center" wrapText="1"/>
    </xf>
    <xf numFmtId="0" fontId="7" fillId="6" borderId="8" xfId="0" applyFont="1" applyFill="1" applyBorder="1" applyAlignment="1">
      <alignment horizontal="center" wrapText="1"/>
    </xf>
    <xf numFmtId="170" fontId="7" fillId="6" borderId="9" xfId="0" applyNumberFormat="1" applyFont="1" applyFill="1" applyBorder="1" applyAlignment="1">
      <alignment horizontal="center" wrapText="1"/>
    </xf>
    <xf numFmtId="170" fontId="7" fillId="6" borderId="10" xfId="0" applyNumberFormat="1" applyFont="1" applyFill="1" applyBorder="1" applyAlignment="1">
      <alignment horizontal="center" wrapText="1"/>
    </xf>
    <xf numFmtId="0" fontId="1" fillId="6" borderId="0" xfId="0" applyFont="1" applyFill="1" applyAlignment="1">
      <alignment horizontal="center"/>
    </xf>
    <xf numFmtId="0" fontId="1" fillId="6" borderId="0" xfId="0" applyNumberFormat="1" applyFont="1" applyFill="1" applyAlignment="1">
      <alignment horizontal="center"/>
    </xf>
    <xf numFmtId="169" fontId="1" fillId="6" borderId="0" xfId="0" applyNumberFormat="1" applyFont="1" applyFill="1" applyAlignment="1">
      <alignment horizontal="center"/>
    </xf>
    <xf numFmtId="169" fontId="0" fillId="6" borderId="0" xfId="0" applyNumberFormat="1" applyFill="1" applyAlignment="1">
      <alignment horizontal="center"/>
    </xf>
    <xf numFmtId="168" fontId="0" fillId="6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1" xfId="0" applyFont="1" applyFill="1" applyBorder="1" applyAlignment="1">
      <alignment horizontal="center"/>
    </xf>
    <xf numFmtId="0" fontId="13" fillId="0" borderId="12" xfId="0" applyFont="1" applyFill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4" fillId="0" borderId="0" xfId="0" applyFont="1"/>
    <xf numFmtId="0" fontId="15" fillId="6" borderId="0" xfId="0" applyNumberFormat="1" applyFont="1" applyFill="1" applyAlignment="1">
      <alignment horizontal="center"/>
    </xf>
    <xf numFmtId="0" fontId="15" fillId="6" borderId="15" xfId="0" applyNumberFormat="1" applyFont="1" applyFill="1" applyBorder="1" applyAlignment="1">
      <alignment horizontal="center"/>
    </xf>
    <xf numFmtId="169" fontId="15" fillId="6" borderId="0" xfId="0" applyNumberFormat="1" applyFont="1" applyFill="1" applyAlignment="1">
      <alignment horizontal="center"/>
    </xf>
    <xf numFmtId="0" fontId="0" fillId="0" borderId="0" xfId="0" applyAlignment="1">
      <alignment horizontal="left"/>
    </xf>
  </cellXfs>
  <cellStyles count="31">
    <cellStyle name="Euro" xfId="2"/>
    <cellStyle name="Hyperlink 2" xfId="3"/>
    <cellStyle name="Incorreto 2" xfId="4"/>
    <cellStyle name="Moeda 2" xfId="5"/>
    <cellStyle name="Moeda 2 2" xfId="6"/>
    <cellStyle name="Normal" xfId="0" builtinId="0"/>
    <cellStyle name="Normal 2" xfId="7"/>
    <cellStyle name="Normal 2 2" xfId="8"/>
    <cellStyle name="Normal 2 2 2" xfId="9"/>
    <cellStyle name="Normal 2_P-22.377-10 10-08-10" xfId="10"/>
    <cellStyle name="Normal 3" xfId="11"/>
    <cellStyle name="Normal 3 2" xfId="12"/>
    <cellStyle name="Normal 4" xfId="13"/>
    <cellStyle name="Normal 5" xfId="14"/>
    <cellStyle name="Normal 6" xfId="1"/>
    <cellStyle name="Nota 2" xfId="15"/>
    <cellStyle name="Porcentagem 2" xfId="16"/>
    <cellStyle name="Porcentagem 2 2" xfId="17"/>
    <cellStyle name="Porcentagem 2 2 2" xfId="18"/>
    <cellStyle name="Porcentagem 3" xfId="19"/>
    <cellStyle name="Porcentagem 4" xfId="20"/>
    <cellStyle name="Porcentagem 5" xfId="21"/>
    <cellStyle name="Separador de m" xfId="22"/>
    <cellStyle name="Separador de milhares 2" xfId="23"/>
    <cellStyle name="Separador de milhares 2 2" xfId="24"/>
    <cellStyle name="Separador de milhares 2 3" xfId="25"/>
    <cellStyle name="Separador de milhares 3" xfId="26"/>
    <cellStyle name="Separador de milhares 3 2" xfId="27"/>
    <cellStyle name="Separador de milhares 4" xfId="28"/>
    <cellStyle name="Separador de milhares 5" xfId="29"/>
    <cellStyle name="Standard_Tabelle1" xfId="30"/>
  </cellStyles>
  <dxfs count="101">
    <dxf>
      <font>
        <b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0" formatCode="0.0\ &quot;MPa&quot;"/>
      <fill>
        <patternFill patternType="solid">
          <fgColor indexed="64"/>
          <bgColor theme="2" tint="-9.9978637043366805E-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rgb="FF00B0F0"/>
        </left>
        <right/>
        <top style="thin">
          <color rgb="FF00B0F0"/>
        </top>
        <bottom style="thin">
          <color rgb="FF00B0F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0" formatCode="0.0\ &quot;MPa&quot;"/>
      <fill>
        <patternFill patternType="solid">
          <fgColor indexed="64"/>
          <bgColor theme="2" tint="-9.9978637043366805E-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0" formatCode="0.0\ &quot;MPa&quot;"/>
      <fill>
        <patternFill patternType="solid">
          <fgColor indexed="64"/>
          <bgColor theme="2" tint="-9.9978637043366805E-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0" formatCode="0.0\ &quot;MPa&quot;"/>
      <fill>
        <patternFill patternType="solid">
          <fgColor indexed="64"/>
          <bgColor theme="2" tint="-9.9978637043366805E-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0" formatCode="0.0\ &quot;MPa&quot;"/>
      <fill>
        <patternFill patternType="solid">
          <fgColor indexed="64"/>
          <bgColor theme="2" tint="-9.9978637043366805E-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 outline="0">
        <top style="thin">
          <color rgb="FF00B0F0"/>
        </top>
      </border>
    </dxf>
    <dxf>
      <border outline="0">
        <left style="thin">
          <color rgb="FF00B0F0"/>
        </left>
        <right style="thin">
          <color rgb="FF00B0F0"/>
        </right>
        <top style="thin">
          <color rgb="FF00B0F0"/>
        </top>
        <bottom style="medium">
          <color rgb="FF00B0F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0" formatCode="0.0\ &quot;MPa&quot;"/>
      <fill>
        <patternFill patternType="solid">
          <fgColor indexed="64"/>
          <bgColor theme="2" tint="-9.9978637043366805E-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rgb="FF00B0F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0" formatCode="0.0\ &quot;MPa&quot;"/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rgb="FF00B0F0"/>
        </left>
        <right style="thin">
          <color rgb="FF00B0F0"/>
        </right>
        <top/>
        <bottom/>
      </border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numFmt numFmtId="167" formatCode="0.0"/>
      <alignment horizontal="left" vertical="bottom" textRotation="0" wrapText="0" indent="0" justifyLastLine="0" shrinkToFit="0" readingOrder="0"/>
    </dxf>
    <dxf>
      <numFmt numFmtId="171" formatCode="0.0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numFmt numFmtId="171" formatCode="0.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numFmt numFmtId="171" formatCode="0.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numFmt numFmtId="171" formatCode="0.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numFmt numFmtId="171" formatCode="0.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numFmt numFmtId="171" formatCode="0.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numFmt numFmtId="171" formatCode="0.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numFmt numFmtId="171" formatCode="0.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####.#\ \ &quot;[mm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numFmt numFmtId="169" formatCode="####.#\ \ &quot;[mm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numFmt numFmtId="168" formatCode="####.#\ \ &quot;[N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numFmt numFmtId="168" formatCode="####.#\ \ &quot;[N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color auto="1"/>
      </font>
      <numFmt numFmtId="169" formatCode="####.#\ \ &quot;[mm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###.#\ \ &quot;[mm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###.#\ \ &quot;[mm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###.#\ \ &quot;[mm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###.#\ \ &quot;[mm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###.#\ \ &quot;[mm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###.#\ \ &quot;[mm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###.#\ \ &quot;[mm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###.#\ \ &quot;[mm]&quot;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3</xdr:row>
          <xdr:rowOff>66675</xdr:rowOff>
        </xdr:from>
        <xdr:to>
          <xdr:col>17</xdr:col>
          <xdr:colOff>352425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</xdr:colOff>
          <xdr:row>0</xdr:row>
          <xdr:rowOff>57150</xdr:rowOff>
        </xdr:from>
        <xdr:to>
          <xdr:col>16</xdr:col>
          <xdr:colOff>333375</xdr:colOff>
          <xdr:row>2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8</xdr:row>
          <xdr:rowOff>95250</xdr:rowOff>
        </xdr:from>
        <xdr:to>
          <xdr:col>17</xdr:col>
          <xdr:colOff>28575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2</xdr:row>
          <xdr:rowOff>161925</xdr:rowOff>
        </xdr:from>
        <xdr:to>
          <xdr:col>20</xdr:col>
          <xdr:colOff>4181475</xdr:colOff>
          <xdr:row>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Dimensionar Força Máxima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unAnsysUsingTemplateRe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lanilha%20em%20Simulacao-Tambor_%20Esqueleto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Template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"/>
      <sheetName val="Entrada Dados"/>
      <sheetName val="Aneis Fixacao"/>
      <sheetName val="Mancais"/>
      <sheetName val="Chaveta-Ponteira"/>
      <sheetName val="Legenda Inventor"/>
      <sheetName val="Comentarios"/>
      <sheetName val="Formulas_iPro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3" name="Table3" displayName="Table3" ref="A1:O4" totalsRowShown="0" headerRowDxfId="100" dataDxfId="99">
  <autoFilter ref="A1:O4"/>
  <tableColumns count="15">
    <tableColumn id="18" name="No Desenho" dataDxfId="98"/>
    <tableColumn id="17" name="Tipo de Tambor" dataDxfId="97"/>
    <tableColumn id="1" name="DT" dataDxfId="96"/>
    <tableColumn id="2" name="LT" dataDxfId="95"/>
    <tableColumn id="3" name="DM" dataDxfId="94"/>
    <tableColumn id="4" name="ANEL" dataDxfId="93"/>
    <tableColumn id="10" name="Tamanho" dataDxfId="92"/>
    <tableColumn id="11" name="Material Cubo" dataDxfId="91"/>
    <tableColumn id="5" name="ECAR" dataDxfId="90"/>
    <tableColumn id="6" name="EDL" dataDxfId="89"/>
    <tableColumn id="7" name="Deixo" dataDxfId="88"/>
    <tableColumn id="8" name="Angl. Trans." dataDxfId="87"/>
    <tableColumn id="9" name="Carga" dataDxfId="86"/>
    <tableColumn id="12" name="DPE" dataDxfId="85"/>
    <tableColumn id="13" name="Angl Trans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R2:R3" totalsRowShown="0" headerRowDxfId="83" dataDxfId="82">
  <autoFilter ref="R2:R3"/>
  <tableColumns count="1">
    <tableColumn id="1" name="TPR" dataDxfId="8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E4" totalsRowShown="0" dataDxfId="80">
  <autoFilter ref="A1:E4"/>
  <tableColumns count="5">
    <tableColumn id="1" name="Tipo de Tambor" dataDxfId="79"/>
    <tableColumn id="2" name="Inventor Template" dataDxfId="78"/>
    <tableColumn id="3" name="SpaceClaim Template" dataDxfId="77"/>
    <tableColumn id="4" name="Mechanical Template" dataDxfId="76"/>
    <tableColumn id="5" name="Workbench Template" dataDxfId="7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1:N2" totalsRowShown="0" dataDxfId="74">
  <autoFilter ref="A1:N2"/>
  <tableColumns count="14">
    <tableColumn id="1" name="Desenho" dataDxfId="73"/>
    <tableColumn id="2" name="MY_FX" dataDxfId="72"/>
    <tableColumn id="3" name="MY_FY" dataDxfId="71"/>
    <tableColumn id="4" name="MY_FZ" dataDxfId="70"/>
    <tableColumn id="5" name="MY_MX" dataDxfId="69"/>
    <tableColumn id="6" name="MY_MY" dataDxfId="68"/>
    <tableColumn id="7" name="MY_MZ" dataDxfId="67"/>
    <tableColumn id="8" name="S1_DISCO_MAX" dataDxfId="66"/>
    <tableColumn id="9" name="S3_DISCO_MAX" dataDxfId="65"/>
    <tableColumn id="10" name="S1_CARC_MAX" dataDxfId="64"/>
    <tableColumn id="11" name="S3_CARC_MAX" dataDxfId="63"/>
    <tableColumn id="12" name="S1_EIXO_MAX" dataDxfId="62"/>
    <tableColumn id="13" name="S3_EIXO_MAX" dataDxfId="61"/>
    <tableColumn id="14" name="MY_ROTZ" dataDxfId="6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A1:R2" totalsRowShown="0" dataDxfId="59">
  <autoFilter ref="A1:R2"/>
  <tableColumns count="18">
    <tableColumn id="1" name="Desenhos" dataDxfId="58">
      <calculatedColumnFormula>Table2[[#This Row],[Desenho]]</calculatedColumnFormula>
    </tableColumn>
    <tableColumn id="2" name="FC Disc-Disc" dataDxfId="57"/>
    <tableColumn id="9" name="Ampl. Disco-Disco" dataDxfId="56">
      <calculatedColumnFormula>VLOOKUP(Table5[[#This Row],[Desenhos]],Table2[],8,FALSE)-VLOOKUP(Table5[[#This Row],[Desenhos]],Table2[],9,FALSE)</calculatedColumnFormula>
    </tableColumn>
    <tableColumn id="12" name="FS Disc-Disc" dataDxfId="55">
      <calculatedColumnFormula>VLOOKUP(Table5[[#This Row],[FC Disc-Disc]],Table6[],2,FALSE)/Table5[[#This Row],[Ampl. Disco-Disco]]</calculatedColumnFormula>
    </tableColumn>
    <tableColumn id="3" name="FC Disc-Carc" dataDxfId="54"/>
    <tableColumn id="10" name="Ampl. Disco-Carc" dataDxfId="53">
      <calculatedColumnFormula>VLOOKUP(Table5[[#This Row],[Desenhos]],Table2[],10,FALSE)-VLOOKUP(Table5[[#This Row],[Desenhos]],Table2[],11,FALSE)</calculatedColumnFormula>
    </tableColumn>
    <tableColumn id="13" name="FS Disc-Carc" dataDxfId="52">
      <calculatedColumnFormula>VLOOKUP(Table5[[#This Row],[FC Disc-Carc]],Table6[],2,FALSE)/Table5[[#This Row],[Ampl. Disco-Carc]]</calculatedColumnFormula>
    </tableColumn>
    <tableColumn id="4" name="FC Carc-Carc" dataDxfId="51"/>
    <tableColumn id="11" name="Ampl. Carc-Carc" dataDxfId="50">
      <calculatedColumnFormula>VLOOKUP(Table5[[#This Row],[Desenhos]],Table2[],10,FALSE)-VLOOKUP(Table5[[#This Row],[Desenhos]],Table2[],11,FALSE)</calculatedColumnFormula>
    </tableColumn>
    <tableColumn id="14" name="FS Carc-Carc" dataDxfId="49">
      <calculatedColumnFormula>VLOOKUP(Table5[[#This Row],[FC Carc-Carc]],Table6[],2,FALSE)/Table5[[#This Row],[Ampl. Carc-Carc]]</calculatedColumnFormula>
    </tableColumn>
    <tableColumn id="5" name="Mat. Eixo" dataDxfId="48"/>
    <tableColumn id="17" name="Resist. Eixo" dataDxfId="47">
      <calculatedColumnFormula>VLOOKUP(Table5[[#This Row],[Desenhos]],Table8[#All],13,FALSE)</calculatedColumnFormula>
    </tableColumn>
    <tableColumn id="18" name="FS Eixo" dataDxfId="46">
      <calculatedColumnFormula>VLOOKUP(Table5[[#This Row],[Desenhos]],Table8[#All],16,FALSE)</calculatedColumnFormula>
    </tableColumn>
    <tableColumn id="6" name="Ringfeder" dataDxfId="45"/>
    <tableColumn id="7" name="FS T" dataDxfId="44">
      <calculatedColumnFormula>VLOOKUP(Table5[[#This Row],[Ringfeder]],Table7[],3,FALSE)/ABS(VLOOKUP(Table5[[#This Row],[Desenhos]],Table2[],5,FALSE))</calculatedColumnFormula>
    </tableColumn>
    <tableColumn id="8" name="FS Mom." dataDxfId="43">
      <calculatedColumnFormula>VLOOKUP(Table5[[#This Row],[Ringfeder]],Table7[],2,FALSE)/ABS(VLOOKUP(Table5[[#This Row],[Desenhos]],Table2[],7,FALSE))</calculatedColumnFormula>
    </tableColumn>
    <tableColumn id="16" name="FS Defl Eixo" dataDxfId="42">
      <calculatedColumnFormula>Table9[Deflexão Máxima (minutos)]/ABS(VLOOKUP(Table5[[#This Row],[Desenhos]],Table2[#All],14,FALSE))</calculatedColumnFormula>
    </tableColumn>
    <tableColumn id="15" name="Carga Máxima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able9" displayName="Table9" ref="T1:U2" totalsRowShown="0" headerRowDxfId="40" dataDxfId="39">
  <autoFilter ref="T1:U2"/>
  <tableColumns count="2">
    <tableColumn id="1" name="FS Limite" dataDxfId="38"/>
    <tableColumn id="2" name="Deflexão Máxima (minutos)" dataDxfId="3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Q6" totalsRowShown="0">
  <autoFilter ref="A1:Q6"/>
  <tableColumns count="17">
    <tableColumn id="1" name="Desenhos" dataDxfId="36">
      <calculatedColumnFormula>Table2[[#This Row],[Desenho]]</calculatedColumnFormula>
    </tableColumn>
    <tableColumn id="2" name="Material" dataDxfId="35">
      <calculatedColumnFormula>VLOOKUP(Table8[[#This Row],[Desenhos]],Table5[#All],11,FALSE)</calculatedColumnFormula>
    </tableColumn>
    <tableColumn id="3" name="Ccar Solic." dataDxfId="34">
      <calculatedColumnFormula>IF(VLOOKUP(Table8[[#This Row],[Desenhos]],Table3[[No Desenho]:[Tipo de Tambor]],2,FALSE)="Desv./Ret./Est.",1,0.58)</calculatedColumnFormula>
    </tableColumn>
    <tableColumn id="4" name="Ctam" dataDxfId="33">
      <calculatedColumnFormula>1.189*(VLOOKUP(Table8[[#This Row],[Desenhos]],Table3[#All],11,FALSE)^(-0.097))</calculatedColumnFormula>
    </tableColumn>
    <tableColumn id="5" name="Csup" dataDxfId="32"/>
    <tableColumn id="6" name="Cconf" dataDxfId="31"/>
    <tableColumn id="7" name="Ctmp" dataDxfId="30"/>
    <tableColumn id="8" name="Tesc" dataDxfId="29">
      <calculatedColumnFormula>VLOOKUP(Table8[[#This Row],[Material]],Table10[#All],2,FALSE)</calculatedColumnFormula>
    </tableColumn>
    <tableColumn id="9" name="Trup" dataDxfId="28">
      <calculatedColumnFormula>VLOOKUP(Table8[[#This Row],[Material]],Table10[#All],3,FALSE)</calculatedColumnFormula>
    </tableColumn>
    <tableColumn id="10" name="E" dataDxfId="27">
      <calculatedColumnFormula>VLOOKUP(Table8[[#This Row],[Material]],Table10[#All],4,FALSE)</calculatedColumnFormula>
    </tableColumn>
    <tableColumn id="11" name="Sf*" dataDxfId="26">
      <calculatedColumnFormula>VLOOKUP(Table8[[#This Row],[Material]],Table10[#All],5,FALSE)</calculatedColumnFormula>
    </tableColumn>
    <tableColumn id="12" name="Sy" dataDxfId="25">
      <calculatedColumnFormula>VLOOKUP(Table8[[#This Row],[Material]],Table10[#All],6,FALSE)</calculatedColumnFormula>
    </tableColumn>
    <tableColumn id="13" name="Se" dataDxfId="24">
      <calculatedColumnFormula>Table8[[#This Row],[Trup]]/2*Table8[[#This Row],[Ctmp]]*Table8[[#This Row],[Cconf]]*Table8[[#This Row],[Csup]]*Table8[[#This Row],[Ctam]]*Table8[[#This Row],[Ccar Solic.]]</calculatedColumnFormula>
    </tableColumn>
    <tableColumn id="14" name="Sm" dataDxfId="23">
      <calculatedColumnFormula>(VLOOKUP(Table8[[#This Row],[Desenhos]],Table2[],12,FALSE)+VLOOKUP(Table8[[#This Row],[Desenhos]],Table2[],13,FALSE))/2</calculatedColumnFormula>
    </tableColumn>
    <tableColumn id="15" name="Samp" dataDxfId="22">
      <calculatedColumnFormula>VLOOKUP(Table8[[#This Row],[Desenhos]],Table2[],12,FALSE)-VLOOKUP(Table8[[#This Row],[Desenhos]],Table2[],13,FALSE)</calculatedColumnFormula>
    </tableColumn>
    <tableColumn id="16" name="ηg" dataDxfId="21">
      <calculatedColumnFormula>(Table8[[#This Row],[Samp]]/Table8[[#This Row],[Se]]+Table8[[#This Row],[Sm]]/Table8[[#This Row],[Trup]])^-1</calculatedColumnFormula>
    </tableColumn>
    <tableColumn id="17" name="ηs" dataDxfId="20">
      <calculatedColumnFormula>(Table8[[#This Row],[Samp]]/Table8[[#This Row],[Se]]+Table8[[#This Row],[Sm]]/Table8[[#This Row],[Sy]])^-1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Table10" displayName="Table10" ref="S1:X4" totalsRowShown="0" headerRowDxfId="19" dataDxfId="17" headerRowBorderDxfId="18" tableBorderDxfId="16" totalsRowBorderDxfId="15">
  <autoFilter ref="S1:X4"/>
  <tableColumns count="6">
    <tableColumn id="1" name="Material" dataDxfId="14"/>
    <tableColumn id="2" name="Tesc" dataDxfId="13"/>
    <tableColumn id="3" name="Trup" dataDxfId="12"/>
    <tableColumn id="4" name="E" dataDxfId="11"/>
    <tableColumn id="5" name="Sf*" dataDxfId="10"/>
    <tableColumn id="6" name="Sy" dataDxf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A1:B6" totalsRowShown="0" dataDxfId="8">
  <autoFilter ref="A1:B6"/>
  <tableColumns count="2">
    <tableColumn id="1" name="Class" dataDxfId="7"/>
    <tableColumn id="2" name="Lim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7" name="Table7" displayName="Table7" ref="A1:C32" totalsRowShown="0" dataDxfId="3">
  <autoFilter ref="A1:C32"/>
  <tableColumns count="3">
    <tableColumn id="1" name="7012" dataDxfId="2">
      <calculatedColumnFormula>CONCATENATE(B2," X ",C2)</calculatedColumnFormula>
    </tableColumn>
    <tableColumn id="2" name="d" dataDxfId="1"/>
    <tableColumn id="3" name="D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6"/>
  <sheetViews>
    <sheetView showGridLines="0" workbookViewId="0">
      <selection activeCell="L2" sqref="L2"/>
    </sheetView>
  </sheetViews>
  <sheetFormatPr defaultRowHeight="15"/>
  <cols>
    <col min="1" max="1" width="20" bestFit="1" customWidth="1"/>
    <col min="2" max="2" width="19" bestFit="1" customWidth="1"/>
    <col min="3" max="3" width="13" customWidth="1"/>
    <col min="4" max="4" width="12.7109375" customWidth="1"/>
    <col min="5" max="5" width="12.28515625" customWidth="1"/>
    <col min="6" max="6" width="11.28515625" bestFit="1" customWidth="1"/>
    <col min="7" max="7" width="13.7109375" bestFit="1" customWidth="1"/>
    <col min="8" max="8" width="18.28515625" bestFit="1" customWidth="1"/>
    <col min="9" max="9" width="12.42578125" customWidth="1"/>
    <col min="10" max="10" width="14.85546875" customWidth="1"/>
    <col min="11" max="11" width="13.140625" customWidth="1"/>
    <col min="12" max="12" width="15.7109375" bestFit="1" customWidth="1"/>
    <col min="13" max="13" width="17.5703125" bestFit="1" customWidth="1"/>
    <col min="14" max="14" width="12.7109375" customWidth="1"/>
    <col min="15" max="15" width="15.7109375" bestFit="1" customWidth="1"/>
    <col min="16" max="16" width="11.140625" bestFit="1" customWidth="1"/>
    <col min="18" max="18" width="18.28515625" bestFit="1" customWidth="1"/>
  </cols>
  <sheetData>
    <row r="1" spans="1:20">
      <c r="A1" s="2" t="s">
        <v>0</v>
      </c>
      <c r="B1" s="2" t="s">
        <v>1</v>
      </c>
      <c r="C1" s="2" t="s">
        <v>73</v>
      </c>
      <c r="D1" s="2" t="s">
        <v>168</v>
      </c>
      <c r="E1" s="2" t="s">
        <v>72</v>
      </c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78</v>
      </c>
      <c r="O1" s="2" t="s">
        <v>180</v>
      </c>
    </row>
    <row r="2" spans="1:20">
      <c r="A2" s="25">
        <v>71410280</v>
      </c>
      <c r="B2" s="26" t="s">
        <v>2</v>
      </c>
      <c r="C2" s="27">
        <v>500</v>
      </c>
      <c r="D2" s="27">
        <v>1150</v>
      </c>
      <c r="E2" s="27">
        <v>1600</v>
      </c>
      <c r="F2" s="27">
        <v>7012</v>
      </c>
      <c r="G2" s="27" t="s">
        <v>189</v>
      </c>
      <c r="H2" s="27">
        <v>300</v>
      </c>
      <c r="I2" s="27">
        <v>16</v>
      </c>
      <c r="J2" s="27">
        <v>19</v>
      </c>
      <c r="K2" s="27">
        <v>90</v>
      </c>
      <c r="L2" s="29">
        <v>20</v>
      </c>
      <c r="M2" s="29">
        <v>32400</v>
      </c>
      <c r="N2" s="28">
        <v>0</v>
      </c>
      <c r="O2" s="28">
        <v>0</v>
      </c>
      <c r="R2" s="2" t="s">
        <v>7</v>
      </c>
    </row>
    <row r="3" spans="1:20">
      <c r="A3" s="38">
        <v>71411050</v>
      </c>
      <c r="B3" s="38" t="s">
        <v>2</v>
      </c>
      <c r="C3" s="40">
        <v>800</v>
      </c>
      <c r="D3" s="40">
        <v>2000</v>
      </c>
      <c r="E3" s="40">
        <v>2600</v>
      </c>
      <c r="F3" s="27">
        <v>7012</v>
      </c>
      <c r="G3" s="40" t="s">
        <v>190</v>
      </c>
      <c r="H3" s="40">
        <v>300</v>
      </c>
      <c r="I3" s="40">
        <v>19</v>
      </c>
      <c r="J3" s="40">
        <v>19</v>
      </c>
      <c r="K3" s="40">
        <v>220</v>
      </c>
      <c r="L3" s="29">
        <v>20</v>
      </c>
      <c r="M3" s="29">
        <v>168900</v>
      </c>
      <c r="N3" s="28"/>
      <c r="O3" s="28"/>
      <c r="R3" s="10" t="s">
        <v>192</v>
      </c>
    </row>
    <row r="4" spans="1:20">
      <c r="A4" s="39">
        <v>71410631</v>
      </c>
      <c r="B4" s="38" t="s">
        <v>2</v>
      </c>
      <c r="C4" s="40">
        <v>800</v>
      </c>
      <c r="D4" s="40">
        <v>2000</v>
      </c>
      <c r="E4" s="40">
        <v>2600</v>
      </c>
      <c r="F4" s="27">
        <v>7012</v>
      </c>
      <c r="G4" s="40" t="s">
        <v>191</v>
      </c>
      <c r="H4" s="40">
        <v>300</v>
      </c>
      <c r="I4" s="40">
        <v>19</v>
      </c>
      <c r="J4" s="40">
        <v>19</v>
      </c>
      <c r="K4" s="40">
        <v>200</v>
      </c>
      <c r="L4" s="29">
        <v>20</v>
      </c>
      <c r="M4" s="29">
        <v>125900</v>
      </c>
      <c r="N4" s="28"/>
      <c r="O4" s="28"/>
    </row>
    <row r="5" spans="1:20">
      <c r="J5" s="1"/>
    </row>
    <row r="6" spans="1:20">
      <c r="K6" s="1"/>
      <c r="L6" s="1"/>
    </row>
    <row r="9" spans="1:20">
      <c r="J9" s="1"/>
    </row>
    <row r="10" spans="1:20">
      <c r="K10" s="1"/>
      <c r="L10" s="1"/>
    </row>
    <row r="13" spans="1:20">
      <c r="J13" s="1"/>
    </row>
    <row r="14" spans="1:20">
      <c r="K14" s="1"/>
      <c r="L14" s="1"/>
      <c r="P14" s="2" t="s">
        <v>81</v>
      </c>
    </row>
    <row r="15" spans="1:20">
      <c r="P15" s="2" t="s">
        <v>75</v>
      </c>
      <c r="Q15" s="41" t="s">
        <v>82</v>
      </c>
      <c r="R15" s="41"/>
      <c r="S15" s="41"/>
      <c r="T15" s="41"/>
    </row>
    <row r="16" spans="1:20">
      <c r="P16" s="2" t="s">
        <v>74</v>
      </c>
      <c r="Q16" s="41" t="s">
        <v>83</v>
      </c>
      <c r="R16" s="41"/>
      <c r="S16" s="41"/>
      <c r="T16" s="41"/>
    </row>
    <row r="17" spans="10:20">
      <c r="J17" s="1"/>
      <c r="P17" s="2" t="s">
        <v>73</v>
      </c>
      <c r="Q17" s="41" t="s">
        <v>84</v>
      </c>
      <c r="R17" s="41"/>
      <c r="S17" s="41"/>
      <c r="T17" s="41"/>
    </row>
    <row r="18" spans="10:20">
      <c r="K18" s="1"/>
      <c r="L18" s="1"/>
      <c r="P18" s="2" t="s">
        <v>72</v>
      </c>
      <c r="Q18" s="41" t="s">
        <v>85</v>
      </c>
      <c r="R18" s="41"/>
      <c r="S18" s="41"/>
      <c r="T18" s="41"/>
    </row>
    <row r="19" spans="10:20">
      <c r="P19" s="2" t="s">
        <v>71</v>
      </c>
      <c r="Q19" s="41" t="s">
        <v>86</v>
      </c>
      <c r="R19" s="41"/>
      <c r="S19" s="41"/>
      <c r="T19" s="41"/>
    </row>
    <row r="20" spans="10:20">
      <c r="P20" s="2" t="s">
        <v>76</v>
      </c>
      <c r="Q20" s="41" t="s">
        <v>87</v>
      </c>
      <c r="R20" s="41"/>
      <c r="S20" s="41"/>
      <c r="T20" s="41"/>
    </row>
    <row r="21" spans="10:20">
      <c r="P21" s="2" t="s">
        <v>70</v>
      </c>
      <c r="Q21" s="41" t="s">
        <v>88</v>
      </c>
      <c r="R21" s="41"/>
      <c r="S21" s="41"/>
      <c r="T21" s="41"/>
    </row>
    <row r="22" spans="10:20">
      <c r="P22" s="2" t="s">
        <v>77</v>
      </c>
      <c r="Q22" s="41" t="s">
        <v>89</v>
      </c>
      <c r="R22" s="41"/>
      <c r="S22" s="41"/>
      <c r="T22" s="41"/>
    </row>
    <row r="23" spans="10:20">
      <c r="P23" s="2" t="s">
        <v>69</v>
      </c>
      <c r="Q23" s="41" t="s">
        <v>90</v>
      </c>
      <c r="R23" s="41"/>
      <c r="S23" s="41"/>
      <c r="T23" s="41"/>
    </row>
    <row r="24" spans="10:20">
      <c r="P24" s="2" t="s">
        <v>68</v>
      </c>
      <c r="Q24" s="41" t="s">
        <v>91</v>
      </c>
      <c r="R24" s="41"/>
      <c r="S24" s="41"/>
      <c r="T24" s="41"/>
    </row>
    <row r="25" spans="10:20">
      <c r="P25" s="2" t="s">
        <v>79</v>
      </c>
      <c r="Q25" s="41" t="s">
        <v>92</v>
      </c>
      <c r="R25" s="41"/>
      <c r="S25" s="41"/>
      <c r="T25" s="41"/>
    </row>
    <row r="26" spans="10:20">
      <c r="P26" s="2" t="s">
        <v>78</v>
      </c>
      <c r="Q26" s="41" t="s">
        <v>93</v>
      </c>
      <c r="R26" s="41"/>
      <c r="S26" s="41"/>
      <c r="T26" s="41"/>
    </row>
    <row r="27" spans="10:20">
      <c r="P27" s="2" t="s">
        <v>80</v>
      </c>
      <c r="Q27" s="41" t="s">
        <v>94</v>
      </c>
      <c r="R27" s="41"/>
      <c r="S27" s="41"/>
      <c r="T27" s="41"/>
    </row>
    <row r="28" spans="10:20">
      <c r="P28" s="5"/>
      <c r="Q28" t="s">
        <v>95</v>
      </c>
    </row>
    <row r="29" spans="10:20">
      <c r="P29" s="7"/>
      <c r="Q29" t="s">
        <v>96</v>
      </c>
    </row>
    <row r="31" spans="10:20">
      <c r="P31" t="s">
        <v>161</v>
      </c>
    </row>
    <row r="32" spans="10:20">
      <c r="P32" t="s">
        <v>162</v>
      </c>
    </row>
    <row r="33" spans="16:16">
      <c r="P33" t="s">
        <v>163</v>
      </c>
    </row>
    <row r="34" spans="16:16">
      <c r="P34" t="s">
        <v>164</v>
      </c>
    </row>
    <row r="35" spans="16:16">
      <c r="P35" t="s">
        <v>165</v>
      </c>
    </row>
    <row r="36" spans="16:16">
      <c r="P36" t="s">
        <v>166</v>
      </c>
    </row>
  </sheetData>
  <dataConsolidate/>
  <mergeCells count="13">
    <mergeCell ref="Q24:T24"/>
    <mergeCell ref="Q25:T25"/>
    <mergeCell ref="Q26:T26"/>
    <mergeCell ref="Q27:T27"/>
    <mergeCell ref="Q15:T15"/>
    <mergeCell ref="Q16:T16"/>
    <mergeCell ref="Q17:T17"/>
    <mergeCell ref="Q18:T18"/>
    <mergeCell ref="Q19:T19"/>
    <mergeCell ref="Q20:T20"/>
    <mergeCell ref="Q21:T21"/>
    <mergeCell ref="Q22:T22"/>
    <mergeCell ref="Q23:T2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ditTemplate">
                <anchor moveWithCells="1">
                  <from>
                    <xdr:col>15</xdr:col>
                    <xdr:colOff>104775</xdr:colOff>
                    <xdr:row>3</xdr:row>
                    <xdr:rowOff>66675</xdr:rowOff>
                  </from>
                  <to>
                    <xdr:col>17</xdr:col>
                    <xdr:colOff>352425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1">
                <anchor moveWithCells="1">
                  <from>
                    <xdr:col>15</xdr:col>
                    <xdr:colOff>133350</xdr:colOff>
                    <xdr:row>0</xdr:row>
                    <xdr:rowOff>57150</xdr:rowOff>
                  </from>
                  <to>
                    <xdr:col>16</xdr:col>
                    <xdr:colOff>333375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andGen">
                <anchor moveWithCells="1">
                  <from>
                    <xdr:col>15</xdr:col>
                    <xdr:colOff>114300</xdr:colOff>
                    <xdr:row>8</xdr:row>
                    <xdr:rowOff>95250</xdr:rowOff>
                  </from>
                  <to>
                    <xdr:col>17</xdr:col>
                    <xdr:colOff>28575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'[RunAnsysUsingTemplateRev2.xlsm]List Templates'!#REF!</xm:f>
          </x14:formula1>
          <xm:sqref>B2:B4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showGridLines="0" workbookViewId="0">
      <selection activeCell="D20" sqref="D20"/>
    </sheetView>
  </sheetViews>
  <sheetFormatPr defaultRowHeight="15"/>
  <cols>
    <col min="1" max="1" width="18" bestFit="1" customWidth="1"/>
    <col min="2" max="2" width="24.85546875" bestFit="1" customWidth="1"/>
    <col min="3" max="4" width="22.5703125" bestFit="1" customWidth="1"/>
    <col min="5" max="5" width="22.7109375" bestFit="1" customWidth="1"/>
    <col min="6" max="6" width="11.28515625" bestFit="1" customWidth="1"/>
    <col min="7" max="7" width="15.42578125" bestFit="1" customWidth="1"/>
    <col min="8" max="8" width="68.42578125" bestFit="1" customWidth="1"/>
  </cols>
  <sheetData>
    <row r="1" spans="1:8">
      <c r="A1" t="s">
        <v>1</v>
      </c>
      <c r="B1" t="s">
        <v>181</v>
      </c>
      <c r="C1" t="s">
        <v>184</v>
      </c>
      <c r="D1" t="s">
        <v>185</v>
      </c>
      <c r="E1" t="s">
        <v>186</v>
      </c>
      <c r="G1" t="s">
        <v>81</v>
      </c>
    </row>
    <row r="2" spans="1:8">
      <c r="A2" s="6" t="s">
        <v>2</v>
      </c>
      <c r="B2" s="6" t="s">
        <v>182</v>
      </c>
      <c r="C2" s="6" t="s">
        <v>183</v>
      </c>
      <c r="D2" s="6" t="s">
        <v>187</v>
      </c>
      <c r="E2" s="6" t="s">
        <v>188</v>
      </c>
      <c r="G2" t="s">
        <v>98</v>
      </c>
      <c r="H2" t="s">
        <v>99</v>
      </c>
    </row>
    <row r="3" spans="1:8">
      <c r="A3" s="6" t="s">
        <v>3</v>
      </c>
      <c r="B3" s="6" t="s">
        <v>182</v>
      </c>
      <c r="C3" s="6" t="s">
        <v>183</v>
      </c>
      <c r="D3" s="6" t="s">
        <v>187</v>
      </c>
      <c r="E3" s="6" t="s">
        <v>188</v>
      </c>
      <c r="G3" t="s">
        <v>5</v>
      </c>
      <c r="H3" t="s">
        <v>100</v>
      </c>
    </row>
    <row r="4" spans="1:8">
      <c r="A4" s="6" t="s">
        <v>4</v>
      </c>
      <c r="B4" s="6" t="s">
        <v>182</v>
      </c>
      <c r="C4" s="6" t="s">
        <v>183</v>
      </c>
      <c r="D4" s="6" t="s">
        <v>187</v>
      </c>
      <c r="E4" s="6" t="s">
        <v>188</v>
      </c>
      <c r="G4" t="s">
        <v>6</v>
      </c>
      <c r="H4" t="s">
        <v>101</v>
      </c>
    </row>
    <row r="5" spans="1:8">
      <c r="G5" t="s">
        <v>8</v>
      </c>
      <c r="H5" t="s">
        <v>102</v>
      </c>
    </row>
    <row r="6" spans="1:8">
      <c r="G6" t="s">
        <v>67</v>
      </c>
      <c r="H6" t="s">
        <v>103</v>
      </c>
    </row>
    <row r="7" spans="1:8">
      <c r="G7" s="5"/>
      <c r="H7" t="s">
        <v>95</v>
      </c>
    </row>
    <row r="8" spans="1:8">
      <c r="G8" s="7"/>
      <c r="H8" t="s">
        <v>96</v>
      </c>
    </row>
    <row r="12" spans="1:8">
      <c r="E12" s="37"/>
    </row>
    <row r="13" spans="1:8">
      <c r="C13" s="3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6"/>
  <sheetViews>
    <sheetView showGridLines="0" workbookViewId="0">
      <selection activeCell="M10" sqref="M10"/>
    </sheetView>
  </sheetViews>
  <sheetFormatPr defaultRowHeight="15"/>
  <cols>
    <col min="1" max="1" width="11.140625" bestFit="1" customWidth="1"/>
    <col min="2" max="2" width="12" bestFit="1" customWidth="1"/>
    <col min="3" max="3" width="9.42578125" bestFit="1" customWidth="1"/>
    <col min="4" max="4" width="9.28515625" bestFit="1" customWidth="1"/>
    <col min="5" max="5" width="10.28515625" bestFit="1" customWidth="1"/>
    <col min="6" max="6" width="11.28515625" bestFit="1" customWidth="1"/>
    <col min="7" max="7" width="10.140625" bestFit="1" customWidth="1"/>
    <col min="8" max="9" width="17.140625" bestFit="1" customWidth="1"/>
    <col min="10" max="11" width="16.42578125" bestFit="1" customWidth="1"/>
    <col min="12" max="13" width="15.85546875" bestFit="1" customWidth="1"/>
    <col min="14" max="14" width="12.7109375" bestFit="1" customWidth="1"/>
    <col min="16" max="16" width="14.7109375" bestFit="1" customWidth="1"/>
    <col min="17" max="17" width="55" bestFit="1" customWidth="1"/>
  </cols>
  <sheetData>
    <row r="1" spans="1:17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45</v>
      </c>
      <c r="P1" t="s">
        <v>81</v>
      </c>
    </row>
    <row r="2" spans="1:17">
      <c r="A2" s="7">
        <v>71410280</v>
      </c>
      <c r="B2">
        <v>408.33640355989297</v>
      </c>
      <c r="C2">
        <v>5.8665592223405795E-4</v>
      </c>
      <c r="D2">
        <v>25000.295142076899</v>
      </c>
      <c r="E2">
        <v>-3.6640613933750501</v>
      </c>
      <c r="F2">
        <v>-5543172.2353791101</v>
      </c>
      <c r="G2">
        <v>73.338793834899207</v>
      </c>
      <c r="H2">
        <v>20.6561429064975</v>
      </c>
      <c r="I2">
        <v>-15.261130760675499</v>
      </c>
      <c r="J2">
        <v>13.898957552200599</v>
      </c>
      <c r="K2">
        <v>-19.742201379377999</v>
      </c>
      <c r="L2">
        <v>49.909769098342103</v>
      </c>
      <c r="M2">
        <v>-46.638587085230398</v>
      </c>
      <c r="N2" s="7"/>
      <c r="P2" t="s">
        <v>10</v>
      </c>
      <c r="Q2" t="s">
        <v>104</v>
      </c>
    </row>
    <row r="3" spans="1:17">
      <c r="P3" t="s">
        <v>11</v>
      </c>
      <c r="Q3" t="s">
        <v>105</v>
      </c>
    </row>
    <row r="4" spans="1:17">
      <c r="P4" t="s">
        <v>12</v>
      </c>
      <c r="Q4" t="s">
        <v>106</v>
      </c>
    </row>
    <row r="5" spans="1:17">
      <c r="P5" t="s">
        <v>13</v>
      </c>
      <c r="Q5" t="s">
        <v>107</v>
      </c>
    </row>
    <row r="6" spans="1:17">
      <c r="P6" t="s">
        <v>14</v>
      </c>
      <c r="Q6" t="s">
        <v>108</v>
      </c>
    </row>
    <row r="7" spans="1:17">
      <c r="P7" t="s">
        <v>15</v>
      </c>
      <c r="Q7" t="s">
        <v>109</v>
      </c>
    </row>
    <row r="8" spans="1:17">
      <c r="P8" t="s">
        <v>16</v>
      </c>
      <c r="Q8" t="s">
        <v>110</v>
      </c>
    </row>
    <row r="9" spans="1:17">
      <c r="P9" t="s">
        <v>17</v>
      </c>
      <c r="Q9" t="s">
        <v>111</v>
      </c>
    </row>
    <row r="10" spans="1:17">
      <c r="P10" t="s">
        <v>18</v>
      </c>
      <c r="Q10" t="s">
        <v>114</v>
      </c>
    </row>
    <row r="11" spans="1:17">
      <c r="P11" t="s">
        <v>19</v>
      </c>
      <c r="Q11" t="s">
        <v>113</v>
      </c>
    </row>
    <row r="12" spans="1:17">
      <c r="P12" t="s">
        <v>20</v>
      </c>
      <c r="Q12" t="s">
        <v>115</v>
      </c>
    </row>
    <row r="13" spans="1:17">
      <c r="P13" t="s">
        <v>21</v>
      </c>
      <c r="Q13" t="s">
        <v>116</v>
      </c>
    </row>
    <row r="14" spans="1:17">
      <c r="P14" t="s">
        <v>45</v>
      </c>
      <c r="Q14" t="s">
        <v>112</v>
      </c>
    </row>
    <row r="15" spans="1:17">
      <c r="P15" s="5"/>
      <c r="Q15" t="s">
        <v>95</v>
      </c>
    </row>
    <row r="16" spans="1:17">
      <c r="P16" s="7"/>
      <c r="Q16" t="s">
        <v>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25"/>
  <sheetViews>
    <sheetView showGridLines="0" tabSelected="1" workbookViewId="0">
      <selection activeCell="F18" sqref="F18"/>
    </sheetView>
  </sheetViews>
  <sheetFormatPr defaultRowHeight="15"/>
  <cols>
    <col min="1" max="1" width="12.42578125" customWidth="1"/>
    <col min="2" max="2" width="13.7109375" bestFit="1" customWidth="1"/>
    <col min="3" max="3" width="19.28515625" bestFit="1" customWidth="1"/>
    <col min="4" max="4" width="13.5703125" bestFit="1" customWidth="1"/>
    <col min="5" max="5" width="13.85546875" bestFit="1" customWidth="1"/>
    <col min="6" max="6" width="18.28515625" bestFit="1" customWidth="1"/>
    <col min="7" max="7" width="13.7109375" bestFit="1" customWidth="1"/>
    <col min="8" max="8" width="14" bestFit="1" customWidth="1"/>
    <col min="9" max="9" width="17.28515625" bestFit="1" customWidth="1"/>
    <col min="10" max="10" width="13.85546875" bestFit="1" customWidth="1"/>
    <col min="11" max="11" width="11.5703125" bestFit="1" customWidth="1"/>
    <col min="12" max="12" width="13.28515625" bestFit="1" customWidth="1"/>
    <col min="13" max="13" width="9.42578125" bestFit="1" customWidth="1"/>
    <col min="14" max="14" width="14.140625" bestFit="1" customWidth="1"/>
    <col min="15" max="15" width="11.5703125" bestFit="1" customWidth="1"/>
    <col min="16" max="16" width="11" bestFit="1" customWidth="1"/>
    <col min="17" max="17" width="13.5703125" bestFit="1" customWidth="1"/>
    <col min="18" max="18" width="15.85546875" bestFit="1" customWidth="1"/>
    <col min="20" max="20" width="17" bestFit="1" customWidth="1"/>
    <col min="21" max="21" width="67.5703125" bestFit="1" customWidth="1"/>
  </cols>
  <sheetData>
    <row r="1" spans="1:21">
      <c r="A1" t="s">
        <v>22</v>
      </c>
      <c r="B1" t="s">
        <v>33</v>
      </c>
      <c r="C1" t="s">
        <v>28</v>
      </c>
      <c r="D1" t="s">
        <v>36</v>
      </c>
      <c r="E1" t="s">
        <v>34</v>
      </c>
      <c r="F1" t="s">
        <v>29</v>
      </c>
      <c r="G1" t="s">
        <v>37</v>
      </c>
      <c r="H1" t="s">
        <v>35</v>
      </c>
      <c r="I1" t="s">
        <v>30</v>
      </c>
      <c r="J1" t="s">
        <v>38</v>
      </c>
      <c r="K1" t="s">
        <v>97</v>
      </c>
      <c r="L1" t="s">
        <v>123</v>
      </c>
      <c r="M1" t="s">
        <v>47</v>
      </c>
      <c r="N1" t="s">
        <v>25</v>
      </c>
      <c r="O1" t="s">
        <v>26</v>
      </c>
      <c r="P1" t="s">
        <v>27</v>
      </c>
      <c r="Q1" t="s">
        <v>46</v>
      </c>
      <c r="R1" t="s">
        <v>44</v>
      </c>
      <c r="T1" s="4" t="s">
        <v>132</v>
      </c>
      <c r="U1" s="4" t="s">
        <v>134</v>
      </c>
    </row>
    <row r="2" spans="1:21">
      <c r="A2" s="8">
        <f>Table2[[#This Row],[Desenho]]</f>
        <v>71410280</v>
      </c>
      <c r="B2" s="10" t="s">
        <v>66</v>
      </c>
      <c r="C2" s="9">
        <f>VLOOKUP(Table5[[#This Row],[Desenhos]],Table2[],8,FALSE)-VLOOKUP(Table5[[#This Row],[Desenhos]],Table2[],9,FALSE)</f>
        <v>35.917273667172999</v>
      </c>
      <c r="D2" s="12">
        <f>VLOOKUP(Table5[[#This Row],[FC Disc-Disc]],Table6[],2,FALSE)/Table5[[#This Row],[Ampl. Disco-Disco]]</f>
        <v>27841.756845647262</v>
      </c>
      <c r="E2" s="10" t="s">
        <v>40</v>
      </c>
      <c r="F2" s="9">
        <f>VLOOKUP(Table5[[#This Row],[Desenhos]],Table2[],10,FALSE)-VLOOKUP(Table5[[#This Row],[Desenhos]],Table2[],11,FALSE)</f>
        <v>33.641158931578602</v>
      </c>
      <c r="G2" s="12">
        <f>VLOOKUP(Table5[[#This Row],[FC Disc-Carc]],Table6[],2,FALSE)/Table5[[#This Row],[Ampl. Disco-Carc]]</f>
        <v>1.6280651957144074</v>
      </c>
      <c r="H2" s="10" t="s">
        <v>39</v>
      </c>
      <c r="I2" s="9">
        <f>VLOOKUP(Table5[[#This Row],[Desenhos]],Table2[],10,FALSE)-VLOOKUP(Table5[[#This Row],[Desenhos]],Table2[],11,FALSE)</f>
        <v>33.641158931578602</v>
      </c>
      <c r="J2" s="12">
        <f>VLOOKUP(Table5[[#This Row],[FC Carc-Carc]],Table6[],2,FALSE)/Table5[[#This Row],[Ampl. Carc-Carc]]</f>
        <v>2.2796479799039235</v>
      </c>
      <c r="K2" s="11" t="s">
        <v>56</v>
      </c>
      <c r="L2" s="9">
        <f>VLOOKUP(Table5[[#This Row],[Desenhos]],Table8[#All],13,FALSE)</f>
        <v>131.8317129455549</v>
      </c>
      <c r="M2" s="12">
        <f>VLOOKUP(Table5[[#This Row],[Desenhos]],Table8[#All],16,FALSE)</f>
        <v>1.3600714677606212</v>
      </c>
      <c r="N2" s="10" t="s">
        <v>43</v>
      </c>
      <c r="O2" s="12" t="e">
        <f>VLOOKUP(Table5[[#This Row],[Ringfeder]],Table7[],3,FALSE)/ABS(VLOOKUP(Table5[[#This Row],[Desenhos]],Table2[],5,FALSE))</f>
        <v>#N/A</v>
      </c>
      <c r="P2" s="12" t="e">
        <f>VLOOKUP(Table5[[#This Row],[Ringfeder]],Table7[],2,FALSE)/ABS(VLOOKUP(Table5[[#This Row],[Desenhos]],Table2[],7,FALSE))</f>
        <v>#N/A</v>
      </c>
      <c r="Q2" s="12" t="e">
        <f>Table9[Deflexão Máxima (minutos)]/ABS(VLOOKUP(Table5[[#This Row],[Desenhos]],Table2[#All],14,FALSE))</f>
        <v>#DIV/0!</v>
      </c>
      <c r="R2" s="9">
        <v>23211.237439366094</v>
      </c>
      <c r="T2" s="15">
        <v>1.3</v>
      </c>
      <c r="U2" s="14">
        <v>5</v>
      </c>
    </row>
    <row r="7" spans="1:21">
      <c r="T7" t="s">
        <v>81</v>
      </c>
    </row>
    <row r="8" spans="1:21">
      <c r="T8" t="s">
        <v>28</v>
      </c>
      <c r="U8" t="s">
        <v>121</v>
      </c>
    </row>
    <row r="9" spans="1:21">
      <c r="T9" t="s">
        <v>33</v>
      </c>
      <c r="U9" t="s">
        <v>117</v>
      </c>
    </row>
    <row r="10" spans="1:21">
      <c r="T10" t="s">
        <v>36</v>
      </c>
      <c r="U10" t="s">
        <v>118</v>
      </c>
    </row>
    <row r="11" spans="1:21">
      <c r="T11" t="s">
        <v>29</v>
      </c>
      <c r="U11" t="s">
        <v>122</v>
      </c>
    </row>
    <row r="12" spans="1:21">
      <c r="T12" t="s">
        <v>34</v>
      </c>
      <c r="U12" t="s">
        <v>119</v>
      </c>
    </row>
    <row r="13" spans="1:21">
      <c r="T13" t="s">
        <v>37</v>
      </c>
      <c r="U13" t="s">
        <v>120</v>
      </c>
    </row>
    <row r="14" spans="1:21">
      <c r="T14" t="s">
        <v>97</v>
      </c>
      <c r="U14" t="s">
        <v>124</v>
      </c>
    </row>
    <row r="15" spans="1:21">
      <c r="T15" t="s">
        <v>123</v>
      </c>
      <c r="U15" t="s">
        <v>125</v>
      </c>
    </row>
    <row r="16" spans="1:21">
      <c r="T16" t="s">
        <v>47</v>
      </c>
      <c r="U16" t="s">
        <v>126</v>
      </c>
    </row>
    <row r="17" spans="20:21">
      <c r="T17" t="s">
        <v>25</v>
      </c>
      <c r="U17" t="s">
        <v>127</v>
      </c>
    </row>
    <row r="18" spans="20:21">
      <c r="T18" t="s">
        <v>26</v>
      </c>
      <c r="U18" t="s">
        <v>128</v>
      </c>
    </row>
    <row r="19" spans="20:21">
      <c r="T19" t="s">
        <v>27</v>
      </c>
      <c r="U19" t="s">
        <v>129</v>
      </c>
    </row>
    <row r="20" spans="20:21">
      <c r="T20" t="s">
        <v>46</v>
      </c>
      <c r="U20" t="s">
        <v>130</v>
      </c>
    </row>
    <row r="21" spans="20:21">
      <c r="T21" t="s">
        <v>44</v>
      </c>
      <c r="U21" t="s">
        <v>131</v>
      </c>
    </row>
    <row r="22" spans="20:21">
      <c r="T22" t="s">
        <v>132</v>
      </c>
      <c r="U22" t="s">
        <v>135</v>
      </c>
    </row>
    <row r="23" spans="20:21">
      <c r="T23" t="s">
        <v>133</v>
      </c>
      <c r="U23" t="s">
        <v>136</v>
      </c>
    </row>
    <row r="24" spans="20:21">
      <c r="T24" s="5"/>
      <c r="U24" t="s">
        <v>95</v>
      </c>
    </row>
    <row r="25" spans="20:21">
      <c r="T25" s="7"/>
      <c r="U25" t="s">
        <v>96</v>
      </c>
    </row>
  </sheetData>
  <phoneticPr fontId="12" type="noConversion"/>
  <dataValidations count="2">
    <dataValidation type="list" allowBlank="1" showInputMessage="1" showErrorMessage="1" sqref="B2 H2 E2">
      <formula1>INDIRECT("Table6[Class]")</formula1>
    </dataValidation>
    <dataValidation type="list" allowBlank="1" showInputMessage="1" showErrorMessage="1" sqref="N2">
      <formula1>INDIRECT("Table7[Type]")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tMaxForce">
                <anchor moveWithCells="1" sizeWithCells="1">
                  <from>
                    <xdr:col>18</xdr:col>
                    <xdr:colOff>190500</xdr:colOff>
                    <xdr:row>2</xdr:row>
                    <xdr:rowOff>161925</xdr:rowOff>
                  </from>
                  <to>
                    <xdr:col>20</xdr:col>
                    <xdr:colOff>4181475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AxleFatigue!$S$2:$S$4</xm:f>
          </x14:formula1>
          <xm:sqref>K2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23"/>
  <sheetViews>
    <sheetView showGridLines="0" workbookViewId="0">
      <selection activeCell="I14" sqref="I14"/>
    </sheetView>
  </sheetViews>
  <sheetFormatPr defaultRowHeight="15"/>
  <cols>
    <col min="1" max="1" width="13.7109375" bestFit="1" customWidth="1"/>
    <col min="2" max="2" width="10.85546875" bestFit="1" customWidth="1"/>
    <col min="3" max="3" width="12.140625" bestFit="1" customWidth="1"/>
    <col min="7" max="7" width="8" bestFit="1" customWidth="1"/>
    <col min="13" max="13" width="12" bestFit="1" customWidth="1"/>
    <col min="15" max="17" width="10.28515625" customWidth="1"/>
    <col min="18" max="18" width="11.42578125" bestFit="1" customWidth="1"/>
    <col min="19" max="20" width="10.28515625" customWidth="1"/>
    <col min="21" max="21" width="9.7109375" bestFit="1" customWidth="1"/>
    <col min="22" max="22" width="11.42578125" bestFit="1" customWidth="1"/>
  </cols>
  <sheetData>
    <row r="1" spans="1:24">
      <c r="A1" t="s">
        <v>22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57</v>
      </c>
      <c r="I1" t="s">
        <v>58</v>
      </c>
      <c r="J1" t="s">
        <v>40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s="3" t="s">
        <v>64</v>
      </c>
      <c r="Q1" s="3" t="s">
        <v>65</v>
      </c>
      <c r="S1" s="16" t="s">
        <v>48</v>
      </c>
      <c r="T1" s="17" t="s">
        <v>57</v>
      </c>
      <c r="U1" s="17" t="s">
        <v>58</v>
      </c>
      <c r="V1" s="17" t="s">
        <v>40</v>
      </c>
      <c r="W1" s="17" t="s">
        <v>59</v>
      </c>
      <c r="X1" s="18" t="s">
        <v>60</v>
      </c>
    </row>
    <row r="2" spans="1:24">
      <c r="A2" s="8">
        <f>Table2[[#This Row],[Desenho]]</f>
        <v>71410280</v>
      </c>
      <c r="B2" s="7" t="str">
        <f>VLOOKUP(Table8[[#This Row],[Desenhos]],Table5[#All],11,FALSE)</f>
        <v>SAE 1045</v>
      </c>
      <c r="C2" s="7">
        <f>IF(VLOOKUP(Table8[[#This Row],[Desenhos]],Table3[[No Desenho]:[Tipo de Tambor]],2,FALSE)="Desv./Ret./Est.",1,0.58)</f>
        <v>1</v>
      </c>
      <c r="D2" s="7">
        <f>1.189*(VLOOKUP(Table8[[#This Row],[Desenhos]],Table3[#All],11,FALSE)^(-0.097))</f>
        <v>0.76845834511678568</v>
      </c>
      <c r="E2" s="7">
        <v>0.67700000000000005</v>
      </c>
      <c r="F2" s="7">
        <v>0.89700000000000002</v>
      </c>
      <c r="G2" s="7">
        <v>1</v>
      </c>
      <c r="H2" s="7">
        <f>VLOOKUP(Table8[[#This Row],[Material]],Table10[#All],2,FALSE)</f>
        <v>310</v>
      </c>
      <c r="I2" s="7">
        <f>VLOOKUP(Table8[[#This Row],[Material]],Table10[#All],3,FALSE)</f>
        <v>565</v>
      </c>
      <c r="J2" s="7">
        <f>VLOOKUP(Table8[[#This Row],[Material]],Table10[#All],4,FALSE)</f>
        <v>205000</v>
      </c>
      <c r="K2" s="7">
        <f>VLOOKUP(Table8[[#This Row],[Material]],Table10[#All],5,FALSE)</f>
        <v>283</v>
      </c>
      <c r="L2" s="7">
        <f>VLOOKUP(Table8[[#This Row],[Material]],Table10[#All],6,FALSE)</f>
        <v>310</v>
      </c>
      <c r="M2" s="7">
        <f>Table8[[#This Row],[Trup]]/2*Table8[[#This Row],[Ctmp]]*Table8[[#This Row],[Cconf]]*Table8[[#This Row],[Csup]]*Table8[[#This Row],[Ctam]]*Table8[[#This Row],[Ccar Solic.]]</f>
        <v>131.8317129455549</v>
      </c>
      <c r="N2" s="7">
        <f>(VLOOKUP(Table8[[#This Row],[Desenhos]],Table2[],12,FALSE)+VLOOKUP(Table8[[#This Row],[Desenhos]],Table2[],13,FALSE))/2</f>
        <v>1.6355910065558525</v>
      </c>
      <c r="O2" s="7">
        <f>VLOOKUP(Table8[[#This Row],[Desenhos]],Table2[],12,FALSE)-VLOOKUP(Table8[[#This Row],[Desenhos]],Table2[],13,FALSE)</f>
        <v>96.548356183572508</v>
      </c>
      <c r="P2" s="7">
        <f>(Table8[[#This Row],[Samp]]/Table8[[#This Row],[Se]]+Table8[[#This Row],[Sm]]/Table8[[#This Row],[Trup]])^-1</f>
        <v>1.3600714677606212</v>
      </c>
      <c r="Q2" s="7">
        <f>(Table8[[#This Row],[Samp]]/Table8[[#This Row],[Se]]+Table8[[#This Row],[Sm]]/Table8[[#This Row],[Sy]])^-1</f>
        <v>1.3556808669895282</v>
      </c>
      <c r="S2" s="19" t="s">
        <v>54</v>
      </c>
      <c r="T2" s="20">
        <v>860</v>
      </c>
      <c r="U2" s="20">
        <v>1280</v>
      </c>
      <c r="V2" s="20">
        <v>200000</v>
      </c>
      <c r="W2" s="20">
        <v>328</v>
      </c>
      <c r="X2" s="21">
        <v>417</v>
      </c>
    </row>
    <row r="3" spans="1:24">
      <c r="A3" s="8" t="e">
        <f>Table2[[#This Row],[Desenho]]</f>
        <v>#VALUE!</v>
      </c>
      <c r="B3" s="7" t="e">
        <f>VLOOKUP(Table8[[#This Row],[Desenhos]],Table5[#All],11,FALSE)</f>
        <v>#VALUE!</v>
      </c>
      <c r="C3" s="7" t="e">
        <f>IF(VLOOKUP(Table8[[#This Row],[Desenhos]],Table3[[No Desenho]:[Tipo de Tambor]],2,FALSE)="Desv./Ret./Est.",1,0.58)</f>
        <v>#VALUE!</v>
      </c>
      <c r="D3" s="7" t="e">
        <f>1.189*(VLOOKUP(Table8[[#This Row],[Desenhos]],Table3[#All],11,FALSE)^(-0.097))</f>
        <v>#VALUE!</v>
      </c>
      <c r="E3" s="7">
        <v>0.67700000000000005</v>
      </c>
      <c r="F3" s="7">
        <v>0.89700000000000002</v>
      </c>
      <c r="G3" s="7">
        <v>1</v>
      </c>
      <c r="H3" s="7" t="e">
        <f>VLOOKUP(Table8[[#This Row],[Material]],Table10[#All],2,FALSE)</f>
        <v>#VALUE!</v>
      </c>
      <c r="I3" s="7" t="e">
        <f>VLOOKUP(Table8[[#This Row],[Material]],Table10[#All],3,FALSE)</f>
        <v>#VALUE!</v>
      </c>
      <c r="J3" s="7" t="e">
        <f>VLOOKUP(Table8[[#This Row],[Material]],Table10[#All],4,FALSE)</f>
        <v>#VALUE!</v>
      </c>
      <c r="K3" s="7" t="e">
        <f>VLOOKUP(Table8[[#This Row],[Material]],Table10[#All],5,FALSE)</f>
        <v>#VALUE!</v>
      </c>
      <c r="L3" s="7" t="e">
        <f>VLOOKUP(Table8[[#This Row],[Material]],Table10[#All],6,FALSE)</f>
        <v>#VALUE!</v>
      </c>
      <c r="M3" s="7" t="e">
        <f>Table8[[#This Row],[Trup]]/2*Table8[[#This Row],[Ctmp]]*Table8[[#This Row],[Cconf]]*Table8[[#This Row],[Csup]]*Table8[[#This Row],[Ctam]]*Table8[[#This Row],[Ccar Solic.]]</f>
        <v>#VALUE!</v>
      </c>
      <c r="N3" s="7" t="e">
        <f>(VLOOKUP(Table8[[#This Row],[Desenhos]],Table2[],12,FALSE)+VLOOKUP(Table8[[#This Row],[Desenhos]],Table2[],13,FALSE))/2</f>
        <v>#VALUE!</v>
      </c>
      <c r="O3" s="7" t="e">
        <f>VLOOKUP(Table8[[#This Row],[Desenhos]],Table2[],12,FALSE)-VLOOKUP(Table8[[#This Row],[Desenhos]],Table2[],13,FALSE)</f>
        <v>#VALUE!</v>
      </c>
      <c r="P3" s="7" t="e">
        <f>(Table8[[#This Row],[Samp]]/Table8[[#This Row],[Se]]+Table8[[#This Row],[Sm]]/Table8[[#This Row],[Trup]])^-1</f>
        <v>#VALUE!</v>
      </c>
      <c r="Q3" s="7" t="e">
        <f>(Table8[[#This Row],[Samp]]/Table8[[#This Row],[Se]]+Table8[[#This Row],[Sm]]/Table8[[#This Row],[Sy]])^-1</f>
        <v>#VALUE!</v>
      </c>
      <c r="S3" s="19" t="s">
        <v>55</v>
      </c>
      <c r="T3" s="20">
        <v>655</v>
      </c>
      <c r="U3" s="20">
        <v>1020</v>
      </c>
      <c r="V3" s="20">
        <v>200000</v>
      </c>
      <c r="W3" s="20">
        <v>328</v>
      </c>
      <c r="X3" s="21">
        <v>417</v>
      </c>
    </row>
    <row r="4" spans="1:24">
      <c r="A4" s="8" t="e">
        <f>Table2[[#This Row],[Desenho]]</f>
        <v>#VALUE!</v>
      </c>
      <c r="B4" s="7" t="e">
        <f>VLOOKUP(Table8[[#This Row],[Desenhos]],Table5[#All],11,FALSE)</f>
        <v>#VALUE!</v>
      </c>
      <c r="C4" s="7" t="e">
        <f>IF(VLOOKUP(Table8[[#This Row],[Desenhos]],Table3[[No Desenho]:[Tipo de Tambor]],2,FALSE)="Desv./Ret./Est.",1,0.58)</f>
        <v>#VALUE!</v>
      </c>
      <c r="D4" s="7" t="e">
        <f>1.189*(VLOOKUP(Table8[[#This Row],[Desenhos]],Table3[#All],11,FALSE)^(-0.097))</f>
        <v>#VALUE!</v>
      </c>
      <c r="E4" s="7">
        <v>0.67700000000000005</v>
      </c>
      <c r="F4" s="7">
        <v>0.89700000000000002</v>
      </c>
      <c r="G4" s="7">
        <v>1</v>
      </c>
      <c r="H4" s="7" t="e">
        <f>VLOOKUP(Table8[[#This Row],[Material]],Table10[#All],2,FALSE)</f>
        <v>#VALUE!</v>
      </c>
      <c r="I4" s="7" t="e">
        <f>VLOOKUP(Table8[[#This Row],[Material]],Table10[#All],3,FALSE)</f>
        <v>#VALUE!</v>
      </c>
      <c r="J4" s="7" t="e">
        <f>VLOOKUP(Table8[[#This Row],[Material]],Table10[#All],4,FALSE)</f>
        <v>#VALUE!</v>
      </c>
      <c r="K4" s="7" t="e">
        <f>VLOOKUP(Table8[[#This Row],[Material]],Table10[#All],5,FALSE)</f>
        <v>#VALUE!</v>
      </c>
      <c r="L4" s="7" t="e">
        <f>VLOOKUP(Table8[[#This Row],[Material]],Table10[#All],6,FALSE)</f>
        <v>#VALUE!</v>
      </c>
      <c r="M4" s="7" t="e">
        <f>Table8[[#This Row],[Trup]]/2*Table8[[#This Row],[Ctmp]]*Table8[[#This Row],[Cconf]]*Table8[[#This Row],[Csup]]*Table8[[#This Row],[Ctam]]*Table8[[#This Row],[Ccar Solic.]]</f>
        <v>#VALUE!</v>
      </c>
      <c r="N4" s="7" t="e">
        <f>(VLOOKUP(Table8[[#This Row],[Desenhos]],Table2[],12,FALSE)+VLOOKUP(Table8[[#This Row],[Desenhos]],Table2[],13,FALSE))/2</f>
        <v>#VALUE!</v>
      </c>
      <c r="O4" s="7" t="e">
        <f>VLOOKUP(Table8[[#This Row],[Desenhos]],Table2[],12,FALSE)-VLOOKUP(Table8[[#This Row],[Desenhos]],Table2[],13,FALSE)</f>
        <v>#VALUE!</v>
      </c>
      <c r="P4" s="7" t="e">
        <f>(Table8[[#This Row],[Samp]]/Table8[[#This Row],[Se]]+Table8[[#This Row],[Sm]]/Table8[[#This Row],[Trup]])^-1</f>
        <v>#VALUE!</v>
      </c>
      <c r="Q4" s="7" t="e">
        <f>(Table8[[#This Row],[Samp]]/Table8[[#This Row],[Se]]+Table8[[#This Row],[Sm]]/Table8[[#This Row],[Sy]])^-1</f>
        <v>#VALUE!</v>
      </c>
      <c r="S4" s="22" t="s">
        <v>56</v>
      </c>
      <c r="T4" s="23">
        <v>310</v>
      </c>
      <c r="U4" s="23">
        <v>565</v>
      </c>
      <c r="V4" s="23">
        <v>205000</v>
      </c>
      <c r="W4" s="23">
        <v>283</v>
      </c>
      <c r="X4" s="24">
        <v>310</v>
      </c>
    </row>
    <row r="5" spans="1:24">
      <c r="A5" s="8" t="e">
        <f>Table2[[#This Row],[Desenho]]</f>
        <v>#VALUE!</v>
      </c>
      <c r="B5" s="7" t="e">
        <f>VLOOKUP(Table8[[#This Row],[Desenhos]],Table5[#All],11,FALSE)</f>
        <v>#VALUE!</v>
      </c>
      <c r="C5" s="7" t="e">
        <f>IF(VLOOKUP(Table8[[#This Row],[Desenhos]],Table3[[No Desenho]:[Tipo de Tambor]],2,FALSE)="Desv./Ret./Est.",1,0.58)</f>
        <v>#VALUE!</v>
      </c>
      <c r="D5" s="7" t="e">
        <f>1.189*(VLOOKUP(Table8[[#This Row],[Desenhos]],Table3[#All],11,FALSE)^(-0.097))</f>
        <v>#VALUE!</v>
      </c>
      <c r="E5" s="7">
        <v>0.67700000000000005</v>
      </c>
      <c r="F5" s="7">
        <v>0.89700000000000002</v>
      </c>
      <c r="G5" s="7">
        <v>1</v>
      </c>
      <c r="H5" s="7" t="e">
        <f>VLOOKUP(Table8[[#This Row],[Material]],Table10[#All],2,FALSE)</f>
        <v>#VALUE!</v>
      </c>
      <c r="I5" s="7" t="e">
        <f>VLOOKUP(Table8[[#This Row],[Material]],Table10[#All],3,FALSE)</f>
        <v>#VALUE!</v>
      </c>
      <c r="J5" s="7" t="e">
        <f>VLOOKUP(Table8[[#This Row],[Material]],Table10[#All],4,FALSE)</f>
        <v>#VALUE!</v>
      </c>
      <c r="K5" s="7" t="e">
        <f>VLOOKUP(Table8[[#This Row],[Material]],Table10[#All],5,FALSE)</f>
        <v>#VALUE!</v>
      </c>
      <c r="L5" s="7" t="e">
        <f>VLOOKUP(Table8[[#This Row],[Material]],Table10[#All],6,FALSE)</f>
        <v>#VALUE!</v>
      </c>
      <c r="M5" s="7" t="e">
        <f>Table8[[#This Row],[Trup]]/2*Table8[[#This Row],[Ctmp]]*Table8[[#This Row],[Cconf]]*Table8[[#This Row],[Csup]]*Table8[[#This Row],[Ctam]]*Table8[[#This Row],[Ccar Solic.]]</f>
        <v>#VALUE!</v>
      </c>
      <c r="N5" s="7" t="e">
        <f>(VLOOKUP(Table8[[#This Row],[Desenhos]],Table2[],12,FALSE)+VLOOKUP(Table8[[#This Row],[Desenhos]],Table2[],13,FALSE))/2</f>
        <v>#VALUE!</v>
      </c>
      <c r="O5" s="7" t="e">
        <f>VLOOKUP(Table8[[#This Row],[Desenhos]],Table2[],12,FALSE)-VLOOKUP(Table8[[#This Row],[Desenhos]],Table2[],13,FALSE)</f>
        <v>#VALUE!</v>
      </c>
      <c r="P5" s="7" t="e">
        <f>(Table8[[#This Row],[Samp]]/Table8[[#This Row],[Se]]+Table8[[#This Row],[Sm]]/Table8[[#This Row],[Trup]])^-1</f>
        <v>#VALUE!</v>
      </c>
      <c r="Q5" s="7" t="e">
        <f>(Table8[[#This Row],[Samp]]/Table8[[#This Row],[Se]]+Table8[[#This Row],[Sm]]/Table8[[#This Row],[Sy]])^-1</f>
        <v>#VALUE!</v>
      </c>
    </row>
    <row r="6" spans="1:24">
      <c r="A6" s="8" t="e">
        <f>Table2[[#This Row],[Desenho]]</f>
        <v>#VALUE!</v>
      </c>
      <c r="B6" s="7" t="e">
        <f>VLOOKUP(Table8[[#This Row],[Desenhos]],Table5[#All],11,FALSE)</f>
        <v>#VALUE!</v>
      </c>
      <c r="C6" s="7" t="e">
        <f>IF(VLOOKUP(Table8[[#This Row],[Desenhos]],Table3[[No Desenho]:[Tipo de Tambor]],2,FALSE)="Desv./Ret./Est.",1,0.58)</f>
        <v>#VALUE!</v>
      </c>
      <c r="D6" s="7" t="e">
        <f>1.189*(VLOOKUP(Table8[[#This Row],[Desenhos]],Table3[#All],11,FALSE)^(-0.097))</f>
        <v>#VALUE!</v>
      </c>
      <c r="E6" s="7">
        <v>0.67700000000000005</v>
      </c>
      <c r="F6" s="7">
        <v>0.89700000000000002</v>
      </c>
      <c r="G6" s="7">
        <v>1</v>
      </c>
      <c r="H6" s="7" t="e">
        <f>VLOOKUP(Table8[[#This Row],[Material]],Table10[#All],2,FALSE)</f>
        <v>#VALUE!</v>
      </c>
      <c r="I6" s="7" t="e">
        <f>VLOOKUP(Table8[[#This Row],[Material]],Table10[#All],3,FALSE)</f>
        <v>#VALUE!</v>
      </c>
      <c r="J6" s="7" t="e">
        <f>VLOOKUP(Table8[[#This Row],[Material]],Table10[#All],4,FALSE)</f>
        <v>#VALUE!</v>
      </c>
      <c r="K6" s="7" t="e">
        <f>VLOOKUP(Table8[[#This Row],[Material]],Table10[#All],5,FALSE)</f>
        <v>#VALUE!</v>
      </c>
      <c r="L6" s="7" t="e">
        <f>VLOOKUP(Table8[[#This Row],[Material]],Table10[#All],6,FALSE)</f>
        <v>#VALUE!</v>
      </c>
      <c r="M6" s="7" t="e">
        <f>Table8[[#This Row],[Trup]]/2*Table8[[#This Row],[Ctmp]]*Table8[[#This Row],[Cconf]]*Table8[[#This Row],[Csup]]*Table8[[#This Row],[Ctam]]*Table8[[#This Row],[Ccar Solic.]]</f>
        <v>#VALUE!</v>
      </c>
      <c r="N6" s="7" t="e">
        <f>(VLOOKUP(Table8[[#This Row],[Desenhos]],Table2[],12,FALSE)+VLOOKUP(Table8[[#This Row],[Desenhos]],Table2[],13,FALSE))/2</f>
        <v>#VALUE!</v>
      </c>
      <c r="O6" s="7" t="e">
        <f>VLOOKUP(Table8[[#This Row],[Desenhos]],Table2[],12,FALSE)-VLOOKUP(Table8[[#This Row],[Desenhos]],Table2[],13,FALSE)</f>
        <v>#VALUE!</v>
      </c>
      <c r="P6" s="7" t="e">
        <f>(Table8[[#This Row],[Samp]]/Table8[[#This Row],[Se]]+Table8[[#This Row],[Sm]]/Table8[[#This Row],[Trup]])^-1</f>
        <v>#VALUE!</v>
      </c>
      <c r="Q6" s="7" t="e">
        <f>(Table8[[#This Row],[Samp]]/Table8[[#This Row],[Se]]+Table8[[#This Row],[Sm]]/Table8[[#This Row],[Sy]])^-1</f>
        <v>#VALUE!</v>
      </c>
      <c r="S6" t="s">
        <v>137</v>
      </c>
    </row>
    <row r="7" spans="1:24">
      <c r="S7" t="s">
        <v>138</v>
      </c>
      <c r="T7" t="s">
        <v>139</v>
      </c>
    </row>
    <row r="8" spans="1:24">
      <c r="S8" t="s">
        <v>50</v>
      </c>
      <c r="T8" t="s">
        <v>140</v>
      </c>
    </row>
    <row r="9" spans="1:24">
      <c r="S9" t="s">
        <v>51</v>
      </c>
      <c r="T9" t="s">
        <v>141</v>
      </c>
    </row>
    <row r="10" spans="1:24">
      <c r="S10" t="s">
        <v>52</v>
      </c>
      <c r="T10" t="s">
        <v>142</v>
      </c>
    </row>
    <row r="11" spans="1:24">
      <c r="S11" t="s">
        <v>143</v>
      </c>
      <c r="T11" t="s">
        <v>142</v>
      </c>
    </row>
    <row r="12" spans="1:24">
      <c r="S12" t="s">
        <v>57</v>
      </c>
      <c r="T12" t="s">
        <v>144</v>
      </c>
    </row>
    <row r="13" spans="1:24">
      <c r="S13" t="s">
        <v>58</v>
      </c>
      <c r="T13" t="s">
        <v>145</v>
      </c>
    </row>
    <row r="14" spans="1:24">
      <c r="S14" t="s">
        <v>40</v>
      </c>
      <c r="T14" t="s">
        <v>146</v>
      </c>
    </row>
    <row r="15" spans="1:24">
      <c r="S15" t="s">
        <v>59</v>
      </c>
      <c r="T15" t="s">
        <v>147</v>
      </c>
    </row>
    <row r="16" spans="1:24">
      <c r="S16" t="s">
        <v>60</v>
      </c>
      <c r="T16" t="s">
        <v>167</v>
      </c>
    </row>
    <row r="17" spans="19:20">
      <c r="S17" t="s">
        <v>61</v>
      </c>
      <c r="T17" t="s">
        <v>148</v>
      </c>
    </row>
    <row r="18" spans="19:20">
      <c r="S18" t="s">
        <v>62</v>
      </c>
      <c r="T18" t="s">
        <v>149</v>
      </c>
    </row>
    <row r="19" spans="19:20">
      <c r="S19" t="s">
        <v>63</v>
      </c>
      <c r="T19" t="s">
        <v>150</v>
      </c>
    </row>
    <row r="20" spans="19:20">
      <c r="S20" t="s">
        <v>151</v>
      </c>
      <c r="T20" t="s">
        <v>152</v>
      </c>
    </row>
    <row r="21" spans="19:20">
      <c r="S21" t="s">
        <v>153</v>
      </c>
      <c r="T21" t="s">
        <v>154</v>
      </c>
    </row>
    <row r="22" spans="19:20">
      <c r="S22" s="5"/>
      <c r="T22" t="s">
        <v>95</v>
      </c>
    </row>
    <row r="23" spans="19:20">
      <c r="S23" s="7"/>
      <c r="T23" t="s">
        <v>96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showGridLines="0" workbookViewId="0">
      <selection activeCell="A2" sqref="A2:B2"/>
    </sheetView>
  </sheetViews>
  <sheetFormatPr defaultRowHeight="15"/>
  <sheetData>
    <row r="1" spans="1:5">
      <c r="A1" t="s">
        <v>23</v>
      </c>
      <c r="B1" t="s">
        <v>24</v>
      </c>
    </row>
    <row r="2" spans="1:5">
      <c r="A2" s="6" t="s">
        <v>39</v>
      </c>
      <c r="B2" s="6">
        <v>76.69</v>
      </c>
      <c r="D2" t="s">
        <v>137</v>
      </c>
    </row>
    <row r="3" spans="1:5">
      <c r="A3" s="6" t="s">
        <v>40</v>
      </c>
      <c r="B3" s="6">
        <v>54.77</v>
      </c>
      <c r="D3" t="s">
        <v>23</v>
      </c>
      <c r="E3" t="s">
        <v>155</v>
      </c>
    </row>
    <row r="4" spans="1:5">
      <c r="A4" s="6" t="s">
        <v>41</v>
      </c>
      <c r="B4" s="6">
        <v>48.61</v>
      </c>
      <c r="D4" t="s">
        <v>24</v>
      </c>
      <c r="E4" t="s">
        <v>156</v>
      </c>
    </row>
    <row r="5" spans="1:5">
      <c r="A5" s="6" t="s">
        <v>42</v>
      </c>
      <c r="B5" s="6">
        <v>125.24</v>
      </c>
      <c r="D5" s="5"/>
      <c r="E5" t="s">
        <v>95</v>
      </c>
    </row>
    <row r="6" spans="1:5">
      <c r="A6" s="6" t="s">
        <v>66</v>
      </c>
      <c r="B6" s="13">
        <v>1000000</v>
      </c>
      <c r="D6" s="7"/>
      <c r="E6" t="s">
        <v>96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2"/>
  <sheetViews>
    <sheetView showGridLines="0" workbookViewId="0">
      <selection activeCell="C34" sqref="C34"/>
    </sheetView>
  </sheetViews>
  <sheetFormatPr defaultRowHeight="15"/>
  <cols>
    <col min="1" max="1" width="46.85546875" customWidth="1"/>
    <col min="2" max="2" width="9.42578125" bestFit="1" customWidth="1"/>
    <col min="3" max="3" width="8.5703125" bestFit="1" customWidth="1"/>
  </cols>
  <sheetData>
    <row r="1" spans="1:6">
      <c r="A1" t="s">
        <v>177</v>
      </c>
      <c r="B1" t="s">
        <v>178</v>
      </c>
      <c r="C1" t="s">
        <v>179</v>
      </c>
      <c r="E1" t="s">
        <v>137</v>
      </c>
    </row>
    <row r="2" spans="1:6">
      <c r="A2" s="2" t="str">
        <f t="shared" ref="A2:A32" si="0">CONCATENATE(B2," X ",C2)</f>
        <v>50 X 80</v>
      </c>
      <c r="B2" s="31">
        <v>50</v>
      </c>
      <c r="C2" s="32">
        <v>80</v>
      </c>
      <c r="E2" t="s">
        <v>157</v>
      </c>
      <c r="F2" t="s">
        <v>158</v>
      </c>
    </row>
    <row r="3" spans="1:6">
      <c r="A3" s="2" t="str">
        <f t="shared" si="0"/>
        <v>55 X 85</v>
      </c>
      <c r="B3" s="31">
        <v>55</v>
      </c>
      <c r="C3" s="32">
        <v>85</v>
      </c>
      <c r="E3" t="s">
        <v>31</v>
      </c>
      <c r="F3" t="s">
        <v>159</v>
      </c>
    </row>
    <row r="4" spans="1:6">
      <c r="A4" s="2" t="str">
        <f t="shared" si="0"/>
        <v>60 X 90</v>
      </c>
      <c r="B4" s="31">
        <v>60</v>
      </c>
      <c r="C4" s="32">
        <v>90</v>
      </c>
      <c r="E4" t="s">
        <v>32</v>
      </c>
      <c r="F4" t="s">
        <v>160</v>
      </c>
    </row>
    <row r="5" spans="1:6">
      <c r="A5" s="2" t="str">
        <f t="shared" si="0"/>
        <v>65 X 95</v>
      </c>
      <c r="B5" s="31">
        <v>65</v>
      </c>
      <c r="C5" s="32">
        <v>95</v>
      </c>
      <c r="E5" s="5"/>
      <c r="F5" t="s">
        <v>95</v>
      </c>
    </row>
    <row r="6" spans="1:6">
      <c r="A6" s="2" t="str">
        <f t="shared" si="0"/>
        <v>70 X 110</v>
      </c>
      <c r="B6" s="31">
        <v>70</v>
      </c>
      <c r="C6" s="32">
        <v>110</v>
      </c>
      <c r="E6" s="7"/>
      <c r="F6" t="s">
        <v>96</v>
      </c>
    </row>
    <row r="7" spans="1:6">
      <c r="A7" s="2" t="str">
        <f t="shared" si="0"/>
        <v>75 X 115</v>
      </c>
      <c r="B7" s="31">
        <v>75</v>
      </c>
      <c r="C7" s="32">
        <v>115</v>
      </c>
    </row>
    <row r="8" spans="1:6">
      <c r="A8" s="2" t="str">
        <f t="shared" si="0"/>
        <v>80 X 120</v>
      </c>
      <c r="B8" s="31">
        <v>80</v>
      </c>
      <c r="C8" s="32">
        <v>120</v>
      </c>
    </row>
    <row r="9" spans="1:6">
      <c r="A9" s="2" t="str">
        <f t="shared" si="0"/>
        <v>85 X 125</v>
      </c>
      <c r="B9" s="31">
        <v>85</v>
      </c>
      <c r="C9" s="32">
        <v>125</v>
      </c>
    </row>
    <row r="10" spans="1:6">
      <c r="A10" s="2" t="str">
        <f t="shared" si="0"/>
        <v>90 X 130</v>
      </c>
      <c r="B10" s="31">
        <v>90</v>
      </c>
      <c r="C10" s="32">
        <v>130</v>
      </c>
    </row>
    <row r="11" spans="1:6">
      <c r="A11" s="2" t="str">
        <f t="shared" si="0"/>
        <v>95 X 135</v>
      </c>
      <c r="B11" s="31">
        <v>95</v>
      </c>
      <c r="C11" s="32">
        <v>135</v>
      </c>
    </row>
    <row r="12" spans="1:6">
      <c r="A12" s="30" t="str">
        <f t="shared" si="0"/>
        <v>100 X 145</v>
      </c>
      <c r="B12" s="33">
        <v>100</v>
      </c>
      <c r="C12" s="34">
        <v>145</v>
      </c>
    </row>
    <row r="13" spans="1:6">
      <c r="A13" s="2" t="str">
        <f t="shared" si="0"/>
        <v>110 X 155</v>
      </c>
      <c r="B13" s="31">
        <v>110</v>
      </c>
      <c r="C13" s="32">
        <v>155</v>
      </c>
    </row>
    <row r="14" spans="1:6">
      <c r="A14" s="2" t="str">
        <f t="shared" si="0"/>
        <v>120 X 165</v>
      </c>
      <c r="B14" s="31">
        <v>120</v>
      </c>
      <c r="C14" s="32">
        <v>165</v>
      </c>
    </row>
    <row r="15" spans="1:6">
      <c r="A15" s="2" t="str">
        <f t="shared" si="0"/>
        <v>130 X 180</v>
      </c>
      <c r="B15" s="31">
        <v>130</v>
      </c>
      <c r="C15" s="32">
        <v>180</v>
      </c>
    </row>
    <row r="16" spans="1:6">
      <c r="A16" s="2" t="str">
        <f t="shared" si="0"/>
        <v>140 X 190</v>
      </c>
      <c r="B16" s="31">
        <v>140</v>
      </c>
      <c r="C16" s="32">
        <v>190</v>
      </c>
    </row>
    <row r="17" spans="1:3">
      <c r="A17" s="2" t="str">
        <f t="shared" si="0"/>
        <v>150 X 200</v>
      </c>
      <c r="B17" s="31">
        <v>150</v>
      </c>
      <c r="C17" s="32">
        <v>200</v>
      </c>
    </row>
    <row r="18" spans="1:3">
      <c r="A18" s="2" t="str">
        <f t="shared" si="0"/>
        <v>160 X 210</v>
      </c>
      <c r="B18" s="31">
        <v>160</v>
      </c>
      <c r="C18" s="32">
        <v>210</v>
      </c>
    </row>
    <row r="19" spans="1:3">
      <c r="A19" s="2" t="str">
        <f t="shared" si="0"/>
        <v>170 X 225</v>
      </c>
      <c r="B19" s="31">
        <v>170</v>
      </c>
      <c r="C19" s="32">
        <v>225</v>
      </c>
    </row>
    <row r="20" spans="1:3">
      <c r="A20" s="2" t="str">
        <f t="shared" si="0"/>
        <v>180 X 235</v>
      </c>
      <c r="B20" s="31">
        <v>180</v>
      </c>
      <c r="C20" s="32">
        <v>235</v>
      </c>
    </row>
    <row r="21" spans="1:3">
      <c r="A21" s="2" t="str">
        <f t="shared" si="0"/>
        <v>190 X 250</v>
      </c>
      <c r="B21" s="31">
        <v>190</v>
      </c>
      <c r="C21" s="32">
        <v>250</v>
      </c>
    </row>
    <row r="22" spans="1:3">
      <c r="A22" s="2" t="str">
        <f t="shared" si="0"/>
        <v>200 X 260</v>
      </c>
      <c r="B22" s="31">
        <v>200</v>
      </c>
      <c r="C22" s="32">
        <v>260</v>
      </c>
    </row>
    <row r="23" spans="1:3">
      <c r="A23" s="2" t="str">
        <f t="shared" si="0"/>
        <v>220 X 285</v>
      </c>
      <c r="B23" s="31">
        <v>220</v>
      </c>
      <c r="C23" s="32">
        <v>285</v>
      </c>
    </row>
    <row r="24" spans="1:3">
      <c r="A24" s="2" t="str">
        <f t="shared" si="0"/>
        <v>240 X 305</v>
      </c>
      <c r="B24" s="31">
        <v>240</v>
      </c>
      <c r="C24" s="32">
        <v>305</v>
      </c>
    </row>
    <row r="25" spans="1:3">
      <c r="A25" s="2" t="str">
        <f t="shared" si="0"/>
        <v>260 X 325</v>
      </c>
      <c r="B25" s="31">
        <v>260</v>
      </c>
      <c r="C25" s="32">
        <v>325</v>
      </c>
    </row>
    <row r="26" spans="1:3">
      <c r="A26" s="2" t="str">
        <f t="shared" si="0"/>
        <v>280 X 355</v>
      </c>
      <c r="B26" s="31">
        <v>280</v>
      </c>
      <c r="C26" s="32">
        <v>355</v>
      </c>
    </row>
    <row r="27" spans="1:3">
      <c r="A27" s="2" t="str">
        <f t="shared" si="0"/>
        <v>300 X 375</v>
      </c>
      <c r="B27" s="31">
        <v>300</v>
      </c>
      <c r="C27" s="32">
        <v>375</v>
      </c>
    </row>
    <row r="28" spans="1:3">
      <c r="A28" s="2" t="str">
        <f t="shared" si="0"/>
        <v>320 X 405</v>
      </c>
      <c r="B28" s="31">
        <v>320</v>
      </c>
      <c r="C28" s="32">
        <v>405</v>
      </c>
    </row>
    <row r="29" spans="1:3">
      <c r="A29" s="2" t="str">
        <f t="shared" si="0"/>
        <v>340 X 425</v>
      </c>
      <c r="B29" s="31">
        <v>340</v>
      </c>
      <c r="C29" s="32">
        <v>425</v>
      </c>
    </row>
    <row r="30" spans="1:3">
      <c r="A30" s="2" t="str">
        <f t="shared" si="0"/>
        <v>360 X 455</v>
      </c>
      <c r="B30" s="31">
        <v>360</v>
      </c>
      <c r="C30" s="32">
        <v>455</v>
      </c>
    </row>
    <row r="31" spans="1:3">
      <c r="A31" s="2" t="str">
        <f t="shared" si="0"/>
        <v>380 X 475</v>
      </c>
      <c r="B31" s="31">
        <v>380</v>
      </c>
      <c r="C31" s="32">
        <v>475</v>
      </c>
    </row>
    <row r="32" spans="1:3" ht="15.75" thickBot="1">
      <c r="A32" s="2" t="str">
        <f t="shared" si="0"/>
        <v>400 X 495</v>
      </c>
      <c r="B32" s="35">
        <v>400</v>
      </c>
      <c r="C32" s="36">
        <v>495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363F5C0F-68D7-4018-BA20-C3DAE342888F}">
            <xm:f>IF(AND($A2='[Planilha em Simulacao-Tambor_ Esqueleto]Entrada Dados'!#REF!,'[Planilha em Simulacao-Tambor_ Esqueleto]Entrada Dados'!#REF!=7012),1,0)</xm:f>
            <x14:dxf>
              <fill>
                <patternFill>
                  <bgColor rgb="FF92D050"/>
                </patternFill>
              </fill>
            </x14:dxf>
          </x14:cfRule>
          <xm:sqref>A2:A32</xm:sqref>
        </x14:conditionalFormatting>
        <x14:conditionalFormatting xmlns:xm="http://schemas.microsoft.com/office/excel/2006/main">
          <x14:cfRule type="expression" priority="1" id="{A8ABB752-310E-451F-BEAB-733A66C21D41}">
            <xm:f>IF(AND($A2='[Planilha em Simulacao-Tambor_ Esqueleto]Entrada Dados'!#REF!,'[Planilha em Simulacao-Tambor_ Esqueleto]Entrada Dados'!#REF!=7012),1,0)</xm:f>
            <x14:dxf>
              <fill>
                <patternFill>
                  <bgColor rgb="FF92D050"/>
                </patternFill>
              </fill>
            </x14:dxf>
          </x14:cfRule>
          <xm:sqref>B2:C32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Template</vt:lpstr>
      <vt:lpstr>List Templates</vt:lpstr>
      <vt:lpstr>Results</vt:lpstr>
      <vt:lpstr>Fatigue</vt:lpstr>
      <vt:lpstr>AxleFatigue</vt:lpstr>
      <vt:lpstr>FatigueInfo</vt:lpstr>
      <vt:lpstr>RingFederInfo</vt:lpstr>
      <vt:lpstr>Variáveis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2020-10-29T19:17:44Z</dcterms:modified>
</cp:coreProperties>
</file>